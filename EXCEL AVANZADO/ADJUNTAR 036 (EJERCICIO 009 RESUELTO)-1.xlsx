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PARA VIDEOS/VIDEO 013/"/>
    </mc:Choice>
  </mc:AlternateContent>
  <xr:revisionPtr revIDLastSave="7" documentId="13_ncr:1_{273F9E42-A80C-4723-B691-036082BB8CBD}" xr6:coauthVersionLast="47" xr6:coauthVersionMax="47" xr10:uidLastSave="{5A29E010-6977-4C1C-A7F7-CFEA957F5DE4}"/>
  <bookViews>
    <workbookView xWindow="-108" yWindow="-108" windowWidth="23256" windowHeight="12456" activeTab="1" xr2:uid="{89E999AA-6E4B-4B8D-BDAC-782C14CC87BB}"/>
  </bookViews>
  <sheets>
    <sheet name="FACTURAS" sheetId="1" r:id="rId1"/>
    <sheet name="EJERCICIO" sheetId="2" r:id="rId2"/>
  </sheets>
  <definedNames>
    <definedName name="_xlnm._FilterDatabase" localSheetId="0" hidden="1">FACTURAS!$A$1:$G$779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13" i="2"/>
  <c r="G14" i="2"/>
  <c r="G5" i="2"/>
  <c r="F5" i="2"/>
  <c r="F6" i="2"/>
  <c r="F7" i="2"/>
  <c r="F8" i="2"/>
  <c r="F9" i="2"/>
  <c r="F10" i="2"/>
  <c r="F11" i="2"/>
  <c r="F12" i="2"/>
  <c r="F13" i="2"/>
  <c r="F14" i="2"/>
  <c r="B5" i="2"/>
  <c r="B6" i="2"/>
  <c r="B7" i="2"/>
  <c r="B8" i="2"/>
  <c r="B9" i="2"/>
  <c r="B4" i="2"/>
</calcChain>
</file>

<file path=xl/sharedStrings.xml><?xml version="1.0" encoding="utf-8"?>
<sst xmlns="http://schemas.openxmlformats.org/spreadsheetml/2006/main" count="3146" uniqueCount="31">
  <si>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</si>
  <si>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</si>
  <si>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</si>
  <si>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</si>
  <si>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</si>
  <si>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</si>
  <si>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</si>
  <si>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</si>
  <si>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</si>
  <si>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</si>
  <si>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</si>
  <si>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</si>
  <si>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</si>
  <si>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</si>
  <si>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</si>
  <si>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</si>
  <si>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</si>
  <si>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</si>
  <si>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</si>
  <si>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</si>
  <si>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</si>
  <si>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</si>
  <si>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</si>
  <si>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</si>
  <si>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</si>
  <si>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</si>
  <si>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</si>
  <si>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</si>
  <si>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TOTAL FACTURAS</t>
  </si>
  <si>
    <t>TOTAL IMPORTE</t>
  </si>
  <si>
    <t>MEDIA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</si>
</sst>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7" totalsRowDxfId="6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5" totalsRowDxfId="4"/>
    <tableColumn id="7" xr3:uid="{7CCE4634-E2FF-48E9-990A-F847B822625F}" name="FECHA" totalsRowFunction="min" dataDxfId="3" totalsRowDxfId="2"/>
    <tableColumn id="8" xr3:uid="{D4520979-8034-41A3-B83C-501B0AE7338A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G779"/>
  <sheetViews>
    <sheetView zoomScaleNormal="100" workbookViewId="0">
      <selection activeCell="C10" sqref="C10"/>
    </sheetView>
  </sheetViews>
  <sheetFormatPr baseColWidth="10" defaultColWidth="11.44140625" defaultRowHeight="13.2" x14ac:dyDescent="0.25"/>
  <cols>
    <col min="1" max="1" width="22.88671875" bestFit="1" customWidth="1"/>
    <col min="2" max="2" width="14.6640625" bestFit="1" customWidth="1"/>
    <col min="3" max="3" width="13.88671875" bestFit="1" customWidth="1"/>
    <col min="4" max="4" width="13.6640625" customWidth="1"/>
    <col min="5" max="5" width="19.44140625" customWidth="1"/>
    <col min="6" max="6" width="21" bestFit="1" customWidth="1"/>
    <col min="7" max="7" width="13.109375" bestFit="1" customWidth="1"/>
    <col min="8" max="8" width="3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</row>
    <row r="3" spans="1:7" x14ac:dyDescent="0.25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</row>
    <row r="4" spans="1:7" x14ac:dyDescent="0.25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</row>
    <row r="5" spans="1:7" x14ac:dyDescent="0.25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</row>
    <row r="6" spans="1:7" x14ac:dyDescent="0.25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</row>
    <row r="7" spans="1:7" x14ac:dyDescent="0.25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</row>
    <row r="8" spans="1:7" x14ac:dyDescent="0.25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</row>
    <row r="9" spans="1:7" x14ac:dyDescent="0.25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</row>
    <row r="10" spans="1:7" x14ac:dyDescent="0.25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</row>
    <row r="11" spans="1:7" x14ac:dyDescent="0.25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</row>
    <row r="12" spans="1:7" x14ac:dyDescent="0.25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</row>
    <row r="13" spans="1:7" x14ac:dyDescent="0.25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</row>
    <row r="14" spans="1:7" x14ac:dyDescent="0.25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</row>
    <row r="15" spans="1:7" x14ac:dyDescent="0.25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</row>
    <row r="16" spans="1:7" x14ac:dyDescent="0.25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</row>
    <row r="17" spans="1:7" x14ac:dyDescent="0.25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</row>
    <row r="18" spans="1:7" x14ac:dyDescent="0.25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</row>
    <row r="19" spans="1:7" x14ac:dyDescent="0.25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</row>
    <row r="20" spans="1:7" x14ac:dyDescent="0.25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</row>
    <row r="21" spans="1:7" x14ac:dyDescent="0.25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</row>
    <row r="22" spans="1:7" x14ac:dyDescent="0.25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</row>
    <row r="23" spans="1:7" x14ac:dyDescent="0.25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</row>
    <row r="24" spans="1:7" x14ac:dyDescent="0.25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</row>
    <row r="25" spans="1:7" x14ac:dyDescent="0.25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</row>
    <row r="26" spans="1:7" x14ac:dyDescent="0.25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</row>
    <row r="27" spans="1:7" x14ac:dyDescent="0.25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</row>
    <row r="28" spans="1:7" x14ac:dyDescent="0.25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</row>
    <row r="29" spans="1:7" x14ac:dyDescent="0.25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</row>
    <row r="30" spans="1:7" x14ac:dyDescent="0.25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</row>
    <row r="31" spans="1:7" x14ac:dyDescent="0.25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</row>
    <row r="32" spans="1:7" x14ac:dyDescent="0.25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</row>
    <row r="33" spans="1:7" x14ac:dyDescent="0.25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</row>
    <row r="34" spans="1:7" x14ac:dyDescent="0.25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</row>
    <row r="35" spans="1:7" x14ac:dyDescent="0.25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</row>
    <row r="36" spans="1:7" x14ac:dyDescent="0.25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</row>
    <row r="37" spans="1:7" x14ac:dyDescent="0.25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</row>
    <row r="38" spans="1:7" x14ac:dyDescent="0.25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</row>
    <row r="39" spans="1:7" x14ac:dyDescent="0.25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</row>
    <row r="40" spans="1:7" x14ac:dyDescent="0.25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</row>
    <row r="41" spans="1:7" x14ac:dyDescent="0.25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</row>
    <row r="42" spans="1:7" x14ac:dyDescent="0.25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</row>
    <row r="43" spans="1:7" x14ac:dyDescent="0.25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</row>
    <row r="44" spans="1:7" x14ac:dyDescent="0.25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</row>
    <row r="45" spans="1:7" x14ac:dyDescent="0.25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</row>
    <row r="46" spans="1:7" x14ac:dyDescent="0.25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</row>
    <row r="47" spans="1:7" x14ac:dyDescent="0.25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</row>
    <row r="48" spans="1:7" x14ac:dyDescent="0.25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</row>
    <row r="49" spans="1:7" x14ac:dyDescent="0.25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</row>
    <row r="50" spans="1:7" x14ac:dyDescent="0.25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</row>
    <row r="51" spans="1:7" x14ac:dyDescent="0.25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</row>
    <row r="52" spans="1:7" x14ac:dyDescent="0.25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</row>
    <row r="53" spans="1:7" x14ac:dyDescent="0.25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</row>
    <row r="54" spans="1:7" x14ac:dyDescent="0.25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</row>
    <row r="55" spans="1:7" x14ac:dyDescent="0.25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</row>
    <row r="56" spans="1:7" x14ac:dyDescent="0.25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</row>
    <row r="57" spans="1:7" x14ac:dyDescent="0.25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</row>
    <row r="58" spans="1:7" x14ac:dyDescent="0.25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</row>
    <row r="59" spans="1:7" x14ac:dyDescent="0.25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</row>
    <row r="60" spans="1:7" x14ac:dyDescent="0.25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</row>
    <row r="61" spans="1:7" x14ac:dyDescent="0.25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</row>
    <row r="62" spans="1:7" x14ac:dyDescent="0.25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</row>
    <row r="63" spans="1:7" x14ac:dyDescent="0.25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</row>
    <row r="64" spans="1:7" x14ac:dyDescent="0.25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</row>
    <row r="65" spans="1:7" x14ac:dyDescent="0.25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</row>
    <row r="66" spans="1:7" x14ac:dyDescent="0.25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</row>
    <row r="67" spans="1:7" x14ac:dyDescent="0.25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</row>
    <row r="68" spans="1:7" x14ac:dyDescent="0.25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</row>
    <row r="69" spans="1:7" x14ac:dyDescent="0.25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</row>
    <row r="70" spans="1:7" x14ac:dyDescent="0.25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</row>
    <row r="71" spans="1:7" x14ac:dyDescent="0.25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</row>
    <row r="72" spans="1:7" x14ac:dyDescent="0.25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</row>
    <row r="73" spans="1:7" x14ac:dyDescent="0.25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</row>
    <row r="74" spans="1:7" x14ac:dyDescent="0.25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</row>
    <row r="75" spans="1:7" x14ac:dyDescent="0.25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</row>
    <row r="76" spans="1:7" x14ac:dyDescent="0.25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</row>
    <row r="77" spans="1:7" x14ac:dyDescent="0.25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</row>
    <row r="78" spans="1:7" x14ac:dyDescent="0.25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</row>
    <row r="79" spans="1:7" x14ac:dyDescent="0.25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</row>
    <row r="80" spans="1:7" x14ac:dyDescent="0.25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</row>
    <row r="81" spans="1:7" x14ac:dyDescent="0.25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</row>
    <row r="82" spans="1:7" x14ac:dyDescent="0.25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</row>
    <row r="83" spans="1:7" x14ac:dyDescent="0.25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</row>
    <row r="84" spans="1:7" x14ac:dyDescent="0.25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</row>
    <row r="85" spans="1:7" x14ac:dyDescent="0.25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</row>
    <row r="86" spans="1:7" x14ac:dyDescent="0.25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</row>
    <row r="87" spans="1:7" x14ac:dyDescent="0.25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</row>
    <row r="88" spans="1:7" x14ac:dyDescent="0.25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</row>
    <row r="89" spans="1:7" x14ac:dyDescent="0.25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</row>
    <row r="90" spans="1:7" x14ac:dyDescent="0.25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</row>
    <row r="91" spans="1:7" x14ac:dyDescent="0.25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</row>
    <row r="92" spans="1:7" x14ac:dyDescent="0.25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</row>
    <row r="93" spans="1:7" x14ac:dyDescent="0.25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</row>
    <row r="94" spans="1:7" x14ac:dyDescent="0.25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</row>
    <row r="95" spans="1:7" x14ac:dyDescent="0.25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</row>
    <row r="96" spans="1:7" x14ac:dyDescent="0.25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</row>
    <row r="97" spans="1:7" x14ac:dyDescent="0.25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</row>
    <row r="98" spans="1:7" x14ac:dyDescent="0.25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</row>
    <row r="99" spans="1:7" x14ac:dyDescent="0.25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</row>
    <row r="100" spans="1:7" x14ac:dyDescent="0.25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</row>
    <row r="101" spans="1:7" x14ac:dyDescent="0.25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</row>
    <row r="102" spans="1:7" x14ac:dyDescent="0.25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</row>
    <row r="103" spans="1:7" x14ac:dyDescent="0.25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</row>
    <row r="104" spans="1:7" x14ac:dyDescent="0.25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</row>
    <row r="105" spans="1:7" x14ac:dyDescent="0.25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</row>
    <row r="106" spans="1:7" x14ac:dyDescent="0.25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</row>
    <row r="107" spans="1:7" x14ac:dyDescent="0.25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</row>
    <row r="108" spans="1:7" x14ac:dyDescent="0.25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</row>
    <row r="109" spans="1:7" x14ac:dyDescent="0.25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</row>
    <row r="110" spans="1:7" x14ac:dyDescent="0.25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</row>
    <row r="111" spans="1:7" x14ac:dyDescent="0.25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</row>
    <row r="112" spans="1:7" x14ac:dyDescent="0.25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</row>
    <row r="113" spans="1:7" x14ac:dyDescent="0.25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</row>
    <row r="114" spans="1:7" x14ac:dyDescent="0.25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</row>
    <row r="115" spans="1:7" x14ac:dyDescent="0.25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</row>
    <row r="116" spans="1:7" x14ac:dyDescent="0.25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</row>
    <row r="117" spans="1:7" x14ac:dyDescent="0.25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</row>
    <row r="118" spans="1:7" x14ac:dyDescent="0.25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</row>
    <row r="119" spans="1:7" x14ac:dyDescent="0.25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</row>
    <row r="120" spans="1:7" x14ac:dyDescent="0.25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</row>
    <row r="121" spans="1:7" x14ac:dyDescent="0.25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</row>
    <row r="122" spans="1:7" x14ac:dyDescent="0.25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</row>
    <row r="123" spans="1:7" x14ac:dyDescent="0.25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</row>
    <row r="124" spans="1:7" x14ac:dyDescent="0.25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</row>
    <row r="125" spans="1:7" x14ac:dyDescent="0.25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</row>
    <row r="126" spans="1:7" x14ac:dyDescent="0.25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</row>
    <row r="127" spans="1:7" x14ac:dyDescent="0.25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</row>
    <row r="128" spans="1:7" x14ac:dyDescent="0.25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</row>
    <row r="129" spans="1:7" x14ac:dyDescent="0.25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</row>
    <row r="130" spans="1:7" x14ac:dyDescent="0.25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</row>
    <row r="131" spans="1:7" x14ac:dyDescent="0.25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</row>
    <row r="132" spans="1:7" x14ac:dyDescent="0.25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</row>
    <row r="133" spans="1:7" x14ac:dyDescent="0.25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</row>
    <row r="134" spans="1:7" x14ac:dyDescent="0.25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</row>
    <row r="135" spans="1:7" x14ac:dyDescent="0.25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</row>
    <row r="136" spans="1:7" x14ac:dyDescent="0.25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</row>
    <row r="137" spans="1:7" x14ac:dyDescent="0.25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</row>
    <row r="138" spans="1:7" x14ac:dyDescent="0.25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</row>
    <row r="139" spans="1:7" x14ac:dyDescent="0.25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</row>
    <row r="140" spans="1:7" x14ac:dyDescent="0.25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</row>
    <row r="141" spans="1:7" x14ac:dyDescent="0.25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</row>
    <row r="142" spans="1:7" x14ac:dyDescent="0.25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</row>
    <row r="143" spans="1:7" x14ac:dyDescent="0.25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</row>
    <row r="144" spans="1:7" x14ac:dyDescent="0.25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</row>
    <row r="145" spans="1:7" x14ac:dyDescent="0.25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</row>
    <row r="146" spans="1:7" x14ac:dyDescent="0.25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</row>
    <row r="147" spans="1:7" x14ac:dyDescent="0.25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</row>
    <row r="148" spans="1:7" x14ac:dyDescent="0.25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</row>
    <row r="149" spans="1:7" x14ac:dyDescent="0.25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</row>
    <row r="150" spans="1:7" x14ac:dyDescent="0.25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</row>
    <row r="151" spans="1:7" x14ac:dyDescent="0.25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</row>
    <row r="152" spans="1:7" x14ac:dyDescent="0.25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</row>
    <row r="153" spans="1:7" x14ac:dyDescent="0.25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</row>
    <row r="154" spans="1:7" x14ac:dyDescent="0.25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</row>
    <row r="155" spans="1:7" x14ac:dyDescent="0.25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</row>
    <row r="156" spans="1:7" x14ac:dyDescent="0.25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</row>
    <row r="157" spans="1:7" x14ac:dyDescent="0.25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</row>
    <row r="158" spans="1:7" x14ac:dyDescent="0.25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</row>
    <row r="159" spans="1:7" x14ac:dyDescent="0.25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</row>
    <row r="160" spans="1:7" x14ac:dyDescent="0.25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</row>
    <row r="161" spans="1:7" x14ac:dyDescent="0.25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</row>
    <row r="162" spans="1:7" x14ac:dyDescent="0.25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</row>
    <row r="163" spans="1:7" x14ac:dyDescent="0.25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</row>
    <row r="164" spans="1:7" x14ac:dyDescent="0.25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</row>
    <row r="165" spans="1:7" x14ac:dyDescent="0.25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</row>
    <row r="166" spans="1:7" x14ac:dyDescent="0.25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</row>
    <row r="167" spans="1:7" x14ac:dyDescent="0.25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</row>
    <row r="168" spans="1:7" x14ac:dyDescent="0.25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</row>
    <row r="169" spans="1:7" x14ac:dyDescent="0.25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</row>
    <row r="170" spans="1:7" x14ac:dyDescent="0.25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</row>
    <row r="171" spans="1:7" x14ac:dyDescent="0.25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</row>
    <row r="172" spans="1:7" x14ac:dyDescent="0.25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</row>
    <row r="173" spans="1:7" x14ac:dyDescent="0.25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</row>
    <row r="174" spans="1:7" x14ac:dyDescent="0.25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</row>
    <row r="175" spans="1:7" x14ac:dyDescent="0.25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</row>
    <row r="176" spans="1:7" x14ac:dyDescent="0.25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</row>
    <row r="177" spans="1:7" x14ac:dyDescent="0.25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</row>
    <row r="178" spans="1:7" x14ac:dyDescent="0.25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</row>
    <row r="179" spans="1:7" x14ac:dyDescent="0.25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</row>
    <row r="180" spans="1:7" x14ac:dyDescent="0.25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</row>
    <row r="181" spans="1:7" x14ac:dyDescent="0.25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</row>
    <row r="182" spans="1:7" x14ac:dyDescent="0.25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</row>
    <row r="183" spans="1:7" x14ac:dyDescent="0.25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</row>
    <row r="184" spans="1:7" x14ac:dyDescent="0.25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</row>
    <row r="185" spans="1:7" x14ac:dyDescent="0.25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</row>
    <row r="186" spans="1:7" x14ac:dyDescent="0.25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</row>
    <row r="187" spans="1:7" x14ac:dyDescent="0.25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</row>
    <row r="188" spans="1:7" x14ac:dyDescent="0.25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</row>
    <row r="189" spans="1:7" x14ac:dyDescent="0.25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</row>
    <row r="190" spans="1:7" x14ac:dyDescent="0.25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</row>
    <row r="191" spans="1:7" x14ac:dyDescent="0.25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</row>
    <row r="192" spans="1:7" x14ac:dyDescent="0.25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</row>
    <row r="193" spans="1:7" x14ac:dyDescent="0.25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</row>
    <row r="194" spans="1:7" x14ac:dyDescent="0.25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</row>
    <row r="195" spans="1:7" x14ac:dyDescent="0.25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</row>
    <row r="196" spans="1:7" x14ac:dyDescent="0.25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</row>
    <row r="197" spans="1:7" x14ac:dyDescent="0.25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</row>
    <row r="198" spans="1:7" x14ac:dyDescent="0.25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</row>
    <row r="199" spans="1:7" x14ac:dyDescent="0.25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</row>
    <row r="200" spans="1:7" x14ac:dyDescent="0.25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</row>
    <row r="201" spans="1:7" x14ac:dyDescent="0.25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</row>
    <row r="202" spans="1:7" x14ac:dyDescent="0.25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</row>
    <row r="203" spans="1:7" x14ac:dyDescent="0.25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</row>
    <row r="204" spans="1:7" x14ac:dyDescent="0.25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</row>
    <row r="205" spans="1:7" x14ac:dyDescent="0.25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</row>
    <row r="206" spans="1:7" x14ac:dyDescent="0.25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</row>
    <row r="207" spans="1:7" x14ac:dyDescent="0.25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</row>
    <row r="208" spans="1:7" x14ac:dyDescent="0.25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</row>
    <row r="209" spans="1:7" x14ac:dyDescent="0.25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</row>
    <row r="210" spans="1:7" x14ac:dyDescent="0.25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</row>
    <row r="211" spans="1:7" x14ac:dyDescent="0.25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</row>
    <row r="212" spans="1:7" x14ac:dyDescent="0.25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</row>
    <row r="213" spans="1:7" x14ac:dyDescent="0.25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</row>
    <row r="214" spans="1:7" x14ac:dyDescent="0.25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</row>
    <row r="215" spans="1:7" x14ac:dyDescent="0.25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</row>
    <row r="216" spans="1:7" x14ac:dyDescent="0.25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</row>
    <row r="217" spans="1:7" x14ac:dyDescent="0.25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</row>
    <row r="218" spans="1:7" x14ac:dyDescent="0.25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</row>
    <row r="219" spans="1:7" x14ac:dyDescent="0.25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</row>
    <row r="220" spans="1:7" x14ac:dyDescent="0.25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</row>
    <row r="221" spans="1:7" x14ac:dyDescent="0.25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</row>
    <row r="222" spans="1:7" x14ac:dyDescent="0.25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</row>
    <row r="223" spans="1:7" x14ac:dyDescent="0.25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</row>
    <row r="224" spans="1:7" x14ac:dyDescent="0.25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</row>
    <row r="225" spans="1:7" x14ac:dyDescent="0.25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</row>
    <row r="226" spans="1:7" x14ac:dyDescent="0.25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</row>
    <row r="227" spans="1:7" x14ac:dyDescent="0.25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</row>
    <row r="228" spans="1:7" x14ac:dyDescent="0.25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</row>
    <row r="229" spans="1:7" x14ac:dyDescent="0.25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</row>
    <row r="230" spans="1:7" x14ac:dyDescent="0.25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</row>
    <row r="231" spans="1:7" x14ac:dyDescent="0.25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</row>
    <row r="232" spans="1:7" x14ac:dyDescent="0.25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</row>
    <row r="233" spans="1:7" x14ac:dyDescent="0.25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</row>
    <row r="234" spans="1:7" x14ac:dyDescent="0.25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</row>
    <row r="235" spans="1:7" x14ac:dyDescent="0.25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</row>
    <row r="236" spans="1:7" x14ac:dyDescent="0.25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</row>
    <row r="237" spans="1:7" x14ac:dyDescent="0.25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</row>
    <row r="238" spans="1:7" x14ac:dyDescent="0.25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</row>
    <row r="239" spans="1:7" x14ac:dyDescent="0.25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</row>
    <row r="240" spans="1:7" x14ac:dyDescent="0.25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</row>
    <row r="241" spans="1:7" x14ac:dyDescent="0.25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</row>
    <row r="242" spans="1:7" x14ac:dyDescent="0.25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</row>
    <row r="243" spans="1:7" x14ac:dyDescent="0.25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</row>
    <row r="244" spans="1:7" x14ac:dyDescent="0.25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</row>
    <row r="245" spans="1:7" x14ac:dyDescent="0.25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</row>
    <row r="246" spans="1:7" x14ac:dyDescent="0.25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</row>
    <row r="247" spans="1:7" x14ac:dyDescent="0.25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</row>
    <row r="248" spans="1:7" x14ac:dyDescent="0.25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</row>
    <row r="249" spans="1:7" x14ac:dyDescent="0.25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</row>
    <row r="250" spans="1:7" x14ac:dyDescent="0.25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</row>
    <row r="251" spans="1:7" x14ac:dyDescent="0.25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</row>
    <row r="252" spans="1:7" x14ac:dyDescent="0.25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</row>
    <row r="253" spans="1:7" x14ac:dyDescent="0.25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</row>
    <row r="254" spans="1:7" x14ac:dyDescent="0.25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</row>
    <row r="255" spans="1:7" x14ac:dyDescent="0.25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</row>
    <row r="256" spans="1:7" x14ac:dyDescent="0.25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</row>
    <row r="257" spans="1:7" x14ac:dyDescent="0.25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</row>
    <row r="258" spans="1:7" x14ac:dyDescent="0.25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</row>
    <row r="259" spans="1:7" x14ac:dyDescent="0.25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</row>
    <row r="260" spans="1:7" x14ac:dyDescent="0.25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</row>
    <row r="261" spans="1:7" x14ac:dyDescent="0.25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</row>
    <row r="262" spans="1:7" x14ac:dyDescent="0.25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</row>
    <row r="263" spans="1:7" x14ac:dyDescent="0.25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</row>
    <row r="264" spans="1:7" x14ac:dyDescent="0.25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</row>
    <row r="265" spans="1:7" x14ac:dyDescent="0.25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</row>
    <row r="266" spans="1:7" x14ac:dyDescent="0.25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</row>
    <row r="267" spans="1:7" x14ac:dyDescent="0.25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</row>
    <row r="268" spans="1:7" x14ac:dyDescent="0.25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</row>
    <row r="269" spans="1:7" x14ac:dyDescent="0.25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</row>
    <row r="270" spans="1:7" x14ac:dyDescent="0.25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</row>
    <row r="271" spans="1:7" x14ac:dyDescent="0.25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</row>
    <row r="272" spans="1:7" x14ac:dyDescent="0.25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</row>
    <row r="273" spans="1:7" x14ac:dyDescent="0.25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</row>
    <row r="274" spans="1:7" x14ac:dyDescent="0.25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</row>
    <row r="275" spans="1:7" x14ac:dyDescent="0.25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</row>
    <row r="276" spans="1:7" x14ac:dyDescent="0.25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</row>
    <row r="277" spans="1:7" x14ac:dyDescent="0.25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</row>
    <row r="278" spans="1:7" x14ac:dyDescent="0.25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</row>
    <row r="279" spans="1:7" x14ac:dyDescent="0.25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</row>
    <row r="280" spans="1:7" x14ac:dyDescent="0.25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</row>
    <row r="281" spans="1:7" x14ac:dyDescent="0.25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</row>
    <row r="282" spans="1:7" x14ac:dyDescent="0.25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</row>
    <row r="283" spans="1:7" x14ac:dyDescent="0.25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</row>
    <row r="284" spans="1:7" x14ac:dyDescent="0.25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</row>
    <row r="285" spans="1:7" x14ac:dyDescent="0.25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</row>
    <row r="286" spans="1:7" x14ac:dyDescent="0.25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</row>
    <row r="287" spans="1:7" x14ac:dyDescent="0.25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</row>
    <row r="288" spans="1:7" x14ac:dyDescent="0.25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</row>
    <row r="289" spans="1:7" x14ac:dyDescent="0.25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</row>
    <row r="290" spans="1:7" x14ac:dyDescent="0.25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</row>
    <row r="291" spans="1:7" x14ac:dyDescent="0.25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</row>
    <row r="292" spans="1:7" x14ac:dyDescent="0.25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</row>
    <row r="293" spans="1:7" x14ac:dyDescent="0.25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</row>
    <row r="294" spans="1:7" x14ac:dyDescent="0.25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</row>
    <row r="295" spans="1:7" x14ac:dyDescent="0.25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</row>
    <row r="296" spans="1:7" x14ac:dyDescent="0.25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</row>
    <row r="297" spans="1:7" x14ac:dyDescent="0.25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</row>
    <row r="298" spans="1:7" x14ac:dyDescent="0.25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</row>
    <row r="299" spans="1:7" x14ac:dyDescent="0.25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</row>
    <row r="300" spans="1:7" x14ac:dyDescent="0.25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</row>
    <row r="301" spans="1:7" x14ac:dyDescent="0.25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</row>
    <row r="302" spans="1:7" x14ac:dyDescent="0.25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</row>
    <row r="303" spans="1:7" x14ac:dyDescent="0.25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</row>
    <row r="304" spans="1:7" x14ac:dyDescent="0.25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</row>
    <row r="305" spans="1:7" x14ac:dyDescent="0.25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</row>
    <row r="306" spans="1:7" x14ac:dyDescent="0.25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</row>
    <row r="307" spans="1:7" x14ac:dyDescent="0.25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</row>
    <row r="308" spans="1:7" x14ac:dyDescent="0.25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</row>
    <row r="309" spans="1:7" x14ac:dyDescent="0.25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</row>
    <row r="310" spans="1:7" x14ac:dyDescent="0.25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</row>
    <row r="311" spans="1:7" x14ac:dyDescent="0.25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</row>
    <row r="312" spans="1:7" x14ac:dyDescent="0.25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</row>
    <row r="313" spans="1:7" x14ac:dyDescent="0.25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</row>
    <row r="314" spans="1:7" x14ac:dyDescent="0.25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</row>
    <row r="315" spans="1:7" x14ac:dyDescent="0.25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</row>
    <row r="316" spans="1:7" x14ac:dyDescent="0.25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</row>
    <row r="317" spans="1:7" x14ac:dyDescent="0.25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</row>
    <row r="318" spans="1:7" x14ac:dyDescent="0.25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</row>
    <row r="319" spans="1:7" x14ac:dyDescent="0.25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</row>
    <row r="320" spans="1:7" x14ac:dyDescent="0.25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</row>
    <row r="321" spans="1:7" x14ac:dyDescent="0.25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</row>
    <row r="322" spans="1:7" x14ac:dyDescent="0.25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</row>
    <row r="323" spans="1:7" x14ac:dyDescent="0.25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</row>
    <row r="324" spans="1:7" x14ac:dyDescent="0.25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</row>
    <row r="325" spans="1:7" x14ac:dyDescent="0.25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</row>
    <row r="326" spans="1:7" x14ac:dyDescent="0.25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</row>
    <row r="327" spans="1:7" x14ac:dyDescent="0.25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</row>
    <row r="328" spans="1:7" x14ac:dyDescent="0.25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</row>
    <row r="329" spans="1:7" x14ac:dyDescent="0.25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</row>
    <row r="330" spans="1:7" x14ac:dyDescent="0.25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</row>
    <row r="331" spans="1:7" x14ac:dyDescent="0.25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</row>
    <row r="332" spans="1:7" x14ac:dyDescent="0.25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</row>
    <row r="333" spans="1:7" x14ac:dyDescent="0.25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</row>
    <row r="334" spans="1:7" x14ac:dyDescent="0.25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</row>
    <row r="335" spans="1:7" x14ac:dyDescent="0.25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</row>
    <row r="336" spans="1:7" x14ac:dyDescent="0.25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</row>
    <row r="337" spans="1:7" x14ac:dyDescent="0.25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</row>
    <row r="338" spans="1:7" x14ac:dyDescent="0.25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</row>
    <row r="339" spans="1:7" x14ac:dyDescent="0.25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</row>
    <row r="340" spans="1:7" x14ac:dyDescent="0.25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</row>
    <row r="341" spans="1:7" x14ac:dyDescent="0.25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</row>
    <row r="342" spans="1:7" x14ac:dyDescent="0.25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</row>
    <row r="343" spans="1:7" x14ac:dyDescent="0.25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</row>
    <row r="344" spans="1:7" x14ac:dyDescent="0.25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</row>
    <row r="345" spans="1:7" x14ac:dyDescent="0.25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</row>
    <row r="346" spans="1:7" x14ac:dyDescent="0.25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</row>
    <row r="347" spans="1:7" x14ac:dyDescent="0.25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</row>
    <row r="348" spans="1:7" x14ac:dyDescent="0.25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</row>
    <row r="349" spans="1:7" x14ac:dyDescent="0.25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</row>
    <row r="350" spans="1:7" x14ac:dyDescent="0.25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</row>
    <row r="351" spans="1:7" x14ac:dyDescent="0.25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</row>
    <row r="352" spans="1:7" x14ac:dyDescent="0.25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</row>
    <row r="353" spans="1:7" x14ac:dyDescent="0.25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</row>
    <row r="354" spans="1:7" x14ac:dyDescent="0.25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</row>
    <row r="355" spans="1:7" x14ac:dyDescent="0.25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</row>
    <row r="356" spans="1:7" x14ac:dyDescent="0.25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</row>
    <row r="357" spans="1:7" x14ac:dyDescent="0.25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</row>
    <row r="358" spans="1:7" x14ac:dyDescent="0.25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</row>
    <row r="359" spans="1:7" x14ac:dyDescent="0.25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</row>
    <row r="360" spans="1:7" x14ac:dyDescent="0.25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</row>
    <row r="361" spans="1:7" x14ac:dyDescent="0.25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</row>
    <row r="362" spans="1:7" x14ac:dyDescent="0.25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</row>
    <row r="363" spans="1:7" x14ac:dyDescent="0.25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</row>
    <row r="364" spans="1:7" x14ac:dyDescent="0.25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</row>
    <row r="365" spans="1:7" x14ac:dyDescent="0.25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</row>
    <row r="366" spans="1:7" x14ac:dyDescent="0.25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</row>
    <row r="367" spans="1:7" x14ac:dyDescent="0.25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</row>
    <row r="368" spans="1:7" x14ac:dyDescent="0.25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</row>
    <row r="369" spans="1:7" x14ac:dyDescent="0.25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</row>
    <row r="370" spans="1:7" x14ac:dyDescent="0.25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</row>
    <row r="371" spans="1:7" x14ac:dyDescent="0.25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</row>
    <row r="372" spans="1:7" x14ac:dyDescent="0.25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</row>
    <row r="373" spans="1:7" x14ac:dyDescent="0.25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</row>
    <row r="374" spans="1:7" x14ac:dyDescent="0.25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</row>
    <row r="375" spans="1:7" x14ac:dyDescent="0.25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</row>
    <row r="376" spans="1:7" x14ac:dyDescent="0.25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</row>
    <row r="377" spans="1:7" x14ac:dyDescent="0.25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</row>
    <row r="378" spans="1:7" x14ac:dyDescent="0.25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</row>
    <row r="379" spans="1:7" x14ac:dyDescent="0.25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</row>
    <row r="380" spans="1:7" x14ac:dyDescent="0.25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</row>
    <row r="381" spans="1:7" x14ac:dyDescent="0.25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</row>
    <row r="382" spans="1:7" x14ac:dyDescent="0.25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</row>
    <row r="383" spans="1:7" x14ac:dyDescent="0.25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</row>
    <row r="384" spans="1:7" x14ac:dyDescent="0.25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</row>
    <row r="385" spans="1:7" x14ac:dyDescent="0.25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</row>
    <row r="386" spans="1:7" x14ac:dyDescent="0.25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</row>
    <row r="387" spans="1:7" x14ac:dyDescent="0.25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</row>
    <row r="388" spans="1:7" x14ac:dyDescent="0.25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</row>
    <row r="389" spans="1:7" x14ac:dyDescent="0.25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</row>
    <row r="390" spans="1:7" x14ac:dyDescent="0.25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</row>
    <row r="391" spans="1:7" x14ac:dyDescent="0.25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</row>
    <row r="392" spans="1:7" x14ac:dyDescent="0.25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</row>
    <row r="393" spans="1:7" x14ac:dyDescent="0.25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</row>
    <row r="394" spans="1:7" x14ac:dyDescent="0.25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</row>
    <row r="395" spans="1:7" x14ac:dyDescent="0.25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</row>
    <row r="396" spans="1:7" x14ac:dyDescent="0.25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</row>
    <row r="397" spans="1:7" x14ac:dyDescent="0.25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</row>
    <row r="398" spans="1:7" x14ac:dyDescent="0.25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</row>
    <row r="399" spans="1:7" x14ac:dyDescent="0.25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</row>
    <row r="400" spans="1:7" x14ac:dyDescent="0.25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</row>
    <row r="401" spans="1:7" x14ac:dyDescent="0.25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</row>
    <row r="402" spans="1:7" x14ac:dyDescent="0.25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</row>
    <row r="403" spans="1:7" x14ac:dyDescent="0.25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</row>
    <row r="404" spans="1:7" x14ac:dyDescent="0.25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</row>
    <row r="405" spans="1:7" x14ac:dyDescent="0.25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</row>
    <row r="406" spans="1:7" x14ac:dyDescent="0.25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</row>
    <row r="407" spans="1:7" x14ac:dyDescent="0.25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</row>
    <row r="408" spans="1:7" x14ac:dyDescent="0.25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</row>
    <row r="409" spans="1:7" x14ac:dyDescent="0.25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</row>
    <row r="410" spans="1:7" x14ac:dyDescent="0.25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</row>
    <row r="411" spans="1:7" x14ac:dyDescent="0.25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</row>
    <row r="412" spans="1:7" x14ac:dyDescent="0.25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</row>
    <row r="413" spans="1:7" x14ac:dyDescent="0.25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</row>
    <row r="414" spans="1:7" x14ac:dyDescent="0.25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</row>
    <row r="415" spans="1:7" x14ac:dyDescent="0.25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</row>
    <row r="416" spans="1:7" x14ac:dyDescent="0.25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</row>
    <row r="417" spans="1:7" x14ac:dyDescent="0.25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</row>
    <row r="418" spans="1:7" x14ac:dyDescent="0.25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</row>
    <row r="419" spans="1:7" x14ac:dyDescent="0.25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</row>
    <row r="420" spans="1:7" x14ac:dyDescent="0.25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</row>
    <row r="421" spans="1:7" x14ac:dyDescent="0.25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</row>
    <row r="422" spans="1:7" x14ac:dyDescent="0.25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</row>
    <row r="423" spans="1:7" x14ac:dyDescent="0.25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</row>
    <row r="424" spans="1:7" x14ac:dyDescent="0.25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</row>
    <row r="425" spans="1:7" x14ac:dyDescent="0.25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</row>
    <row r="426" spans="1:7" x14ac:dyDescent="0.25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</row>
    <row r="427" spans="1:7" x14ac:dyDescent="0.25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</row>
    <row r="428" spans="1:7" x14ac:dyDescent="0.25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</row>
    <row r="429" spans="1:7" x14ac:dyDescent="0.25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</row>
    <row r="430" spans="1:7" x14ac:dyDescent="0.25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</row>
    <row r="431" spans="1:7" x14ac:dyDescent="0.25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</row>
    <row r="432" spans="1:7" x14ac:dyDescent="0.25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</row>
    <row r="433" spans="1:7" x14ac:dyDescent="0.25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</row>
    <row r="434" spans="1:7" x14ac:dyDescent="0.25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</row>
    <row r="435" spans="1:7" x14ac:dyDescent="0.25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</row>
    <row r="436" spans="1:7" x14ac:dyDescent="0.25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</row>
    <row r="437" spans="1:7" x14ac:dyDescent="0.25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</row>
    <row r="438" spans="1:7" x14ac:dyDescent="0.25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</row>
    <row r="439" spans="1:7" x14ac:dyDescent="0.25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</row>
    <row r="440" spans="1:7" x14ac:dyDescent="0.25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</row>
    <row r="441" spans="1:7" x14ac:dyDescent="0.25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</row>
    <row r="442" spans="1:7" x14ac:dyDescent="0.25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</row>
    <row r="443" spans="1:7" x14ac:dyDescent="0.25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</row>
    <row r="444" spans="1:7" x14ac:dyDescent="0.25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</row>
    <row r="445" spans="1:7" x14ac:dyDescent="0.25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</row>
    <row r="446" spans="1:7" x14ac:dyDescent="0.25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</row>
    <row r="447" spans="1:7" x14ac:dyDescent="0.25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</row>
    <row r="448" spans="1:7" x14ac:dyDescent="0.25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</row>
    <row r="449" spans="1:7" x14ac:dyDescent="0.25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</row>
    <row r="450" spans="1:7" x14ac:dyDescent="0.25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</row>
    <row r="451" spans="1:7" x14ac:dyDescent="0.25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</row>
    <row r="452" spans="1:7" x14ac:dyDescent="0.25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</row>
    <row r="453" spans="1:7" x14ac:dyDescent="0.25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</row>
    <row r="454" spans="1:7" x14ac:dyDescent="0.25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</row>
    <row r="455" spans="1:7" x14ac:dyDescent="0.25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</row>
    <row r="456" spans="1:7" x14ac:dyDescent="0.25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</row>
    <row r="457" spans="1:7" x14ac:dyDescent="0.25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</row>
    <row r="458" spans="1:7" x14ac:dyDescent="0.25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</row>
    <row r="459" spans="1:7" x14ac:dyDescent="0.25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</row>
    <row r="460" spans="1:7" x14ac:dyDescent="0.25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</row>
    <row r="461" spans="1:7" x14ac:dyDescent="0.25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</row>
    <row r="462" spans="1:7" x14ac:dyDescent="0.25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</row>
    <row r="463" spans="1:7" x14ac:dyDescent="0.25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</row>
    <row r="464" spans="1:7" x14ac:dyDescent="0.25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</row>
    <row r="465" spans="1:7" x14ac:dyDescent="0.25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</row>
    <row r="466" spans="1:7" x14ac:dyDescent="0.25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</row>
    <row r="467" spans="1:7" x14ac:dyDescent="0.25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</row>
    <row r="468" spans="1:7" x14ac:dyDescent="0.25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</row>
    <row r="469" spans="1:7" x14ac:dyDescent="0.25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</row>
    <row r="470" spans="1:7" x14ac:dyDescent="0.25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</row>
    <row r="471" spans="1:7" x14ac:dyDescent="0.25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</row>
    <row r="472" spans="1:7" x14ac:dyDescent="0.25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</row>
    <row r="473" spans="1:7" x14ac:dyDescent="0.25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</row>
    <row r="474" spans="1:7" x14ac:dyDescent="0.25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</row>
    <row r="475" spans="1:7" x14ac:dyDescent="0.25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</row>
    <row r="476" spans="1:7" x14ac:dyDescent="0.25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</row>
    <row r="477" spans="1:7" x14ac:dyDescent="0.25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</row>
    <row r="478" spans="1:7" x14ac:dyDescent="0.25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</row>
    <row r="479" spans="1:7" x14ac:dyDescent="0.25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</row>
    <row r="480" spans="1:7" x14ac:dyDescent="0.25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</row>
    <row r="481" spans="1:7" x14ac:dyDescent="0.25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</row>
    <row r="482" spans="1:7" x14ac:dyDescent="0.25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</row>
    <row r="483" spans="1:7" x14ac:dyDescent="0.25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</row>
    <row r="484" spans="1:7" x14ac:dyDescent="0.25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</row>
    <row r="485" spans="1:7" x14ac:dyDescent="0.25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</row>
    <row r="486" spans="1:7" x14ac:dyDescent="0.25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</row>
    <row r="487" spans="1:7" x14ac:dyDescent="0.25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</row>
    <row r="488" spans="1:7" x14ac:dyDescent="0.25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</row>
    <row r="489" spans="1:7" x14ac:dyDescent="0.25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</row>
    <row r="490" spans="1:7" x14ac:dyDescent="0.25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</row>
    <row r="491" spans="1:7" x14ac:dyDescent="0.25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</row>
    <row r="492" spans="1:7" x14ac:dyDescent="0.25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</row>
    <row r="493" spans="1:7" x14ac:dyDescent="0.25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</row>
    <row r="494" spans="1:7" x14ac:dyDescent="0.25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</row>
    <row r="495" spans="1:7" x14ac:dyDescent="0.25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</row>
    <row r="496" spans="1:7" x14ac:dyDescent="0.25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</row>
    <row r="497" spans="1:7" x14ac:dyDescent="0.25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</row>
    <row r="498" spans="1:7" x14ac:dyDescent="0.25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</row>
    <row r="499" spans="1:7" x14ac:dyDescent="0.25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</row>
    <row r="500" spans="1:7" x14ac:dyDescent="0.25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</row>
    <row r="501" spans="1:7" x14ac:dyDescent="0.25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</row>
    <row r="502" spans="1:7" x14ac:dyDescent="0.25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</row>
    <row r="503" spans="1:7" x14ac:dyDescent="0.25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</row>
    <row r="504" spans="1:7" x14ac:dyDescent="0.25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</row>
    <row r="505" spans="1:7" x14ac:dyDescent="0.25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</row>
    <row r="506" spans="1:7" x14ac:dyDescent="0.25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</row>
    <row r="507" spans="1:7" x14ac:dyDescent="0.25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</row>
    <row r="508" spans="1:7" x14ac:dyDescent="0.25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</row>
    <row r="509" spans="1:7" x14ac:dyDescent="0.25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</row>
    <row r="510" spans="1:7" x14ac:dyDescent="0.25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</row>
    <row r="511" spans="1:7" x14ac:dyDescent="0.25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</row>
    <row r="512" spans="1:7" x14ac:dyDescent="0.25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</row>
    <row r="513" spans="1:7" x14ac:dyDescent="0.25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</row>
    <row r="514" spans="1:7" x14ac:dyDescent="0.25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</row>
    <row r="515" spans="1:7" x14ac:dyDescent="0.25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</row>
    <row r="516" spans="1:7" x14ac:dyDescent="0.25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</row>
    <row r="517" spans="1:7" x14ac:dyDescent="0.25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</row>
    <row r="518" spans="1:7" x14ac:dyDescent="0.25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</row>
    <row r="519" spans="1:7" x14ac:dyDescent="0.25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</row>
    <row r="520" spans="1:7" x14ac:dyDescent="0.25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</row>
    <row r="521" spans="1:7" x14ac:dyDescent="0.25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</row>
    <row r="522" spans="1:7" x14ac:dyDescent="0.25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</row>
    <row r="523" spans="1:7" x14ac:dyDescent="0.25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</row>
    <row r="524" spans="1:7" x14ac:dyDescent="0.25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</row>
    <row r="525" spans="1:7" x14ac:dyDescent="0.25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</row>
    <row r="526" spans="1:7" x14ac:dyDescent="0.25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</row>
    <row r="527" spans="1:7" x14ac:dyDescent="0.25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</row>
    <row r="528" spans="1:7" x14ac:dyDescent="0.25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</row>
    <row r="529" spans="1:7" x14ac:dyDescent="0.25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</row>
    <row r="530" spans="1:7" x14ac:dyDescent="0.25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</row>
    <row r="531" spans="1:7" x14ac:dyDescent="0.25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</row>
    <row r="532" spans="1:7" x14ac:dyDescent="0.25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</row>
    <row r="533" spans="1:7" x14ac:dyDescent="0.25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</row>
    <row r="534" spans="1:7" x14ac:dyDescent="0.25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</row>
    <row r="535" spans="1:7" x14ac:dyDescent="0.25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</row>
    <row r="536" spans="1:7" x14ac:dyDescent="0.25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</row>
    <row r="537" spans="1:7" x14ac:dyDescent="0.25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</row>
    <row r="538" spans="1:7" x14ac:dyDescent="0.25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</row>
    <row r="539" spans="1:7" x14ac:dyDescent="0.25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</row>
    <row r="540" spans="1:7" x14ac:dyDescent="0.25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</row>
    <row r="541" spans="1:7" x14ac:dyDescent="0.25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</row>
    <row r="542" spans="1:7" x14ac:dyDescent="0.25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</row>
    <row r="543" spans="1:7" x14ac:dyDescent="0.25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</row>
    <row r="544" spans="1:7" x14ac:dyDescent="0.25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</row>
    <row r="545" spans="1:7" x14ac:dyDescent="0.25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</row>
    <row r="546" spans="1:7" x14ac:dyDescent="0.25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</row>
    <row r="547" spans="1:7" x14ac:dyDescent="0.25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</row>
    <row r="548" spans="1:7" x14ac:dyDescent="0.25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</row>
    <row r="549" spans="1:7" x14ac:dyDescent="0.25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</row>
    <row r="550" spans="1:7" x14ac:dyDescent="0.25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</row>
    <row r="551" spans="1:7" x14ac:dyDescent="0.25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</row>
    <row r="552" spans="1:7" x14ac:dyDescent="0.25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</row>
    <row r="553" spans="1:7" x14ac:dyDescent="0.25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</row>
    <row r="554" spans="1:7" x14ac:dyDescent="0.25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</row>
    <row r="555" spans="1:7" x14ac:dyDescent="0.25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</row>
    <row r="556" spans="1:7" x14ac:dyDescent="0.25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</row>
    <row r="557" spans="1:7" x14ac:dyDescent="0.25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</row>
    <row r="558" spans="1:7" x14ac:dyDescent="0.25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</row>
    <row r="559" spans="1:7" x14ac:dyDescent="0.25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</row>
    <row r="560" spans="1:7" x14ac:dyDescent="0.25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</row>
    <row r="561" spans="1:7" x14ac:dyDescent="0.25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</row>
    <row r="562" spans="1:7" x14ac:dyDescent="0.25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</row>
    <row r="563" spans="1:7" x14ac:dyDescent="0.25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</row>
    <row r="564" spans="1:7" x14ac:dyDescent="0.25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</row>
    <row r="565" spans="1:7" x14ac:dyDescent="0.25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</row>
    <row r="566" spans="1:7" x14ac:dyDescent="0.25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</row>
    <row r="567" spans="1:7" x14ac:dyDescent="0.25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</row>
    <row r="568" spans="1:7" x14ac:dyDescent="0.25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</row>
    <row r="569" spans="1:7" x14ac:dyDescent="0.25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</row>
    <row r="570" spans="1:7" x14ac:dyDescent="0.25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</row>
    <row r="571" spans="1:7" x14ac:dyDescent="0.25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</row>
    <row r="572" spans="1:7" x14ac:dyDescent="0.25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</row>
    <row r="573" spans="1:7" x14ac:dyDescent="0.25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</row>
    <row r="574" spans="1:7" x14ac:dyDescent="0.25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</row>
    <row r="575" spans="1:7" x14ac:dyDescent="0.25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</row>
    <row r="576" spans="1:7" x14ac:dyDescent="0.25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</row>
    <row r="577" spans="1:7" x14ac:dyDescent="0.25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</row>
    <row r="578" spans="1:7" x14ac:dyDescent="0.25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</row>
    <row r="579" spans="1:7" x14ac:dyDescent="0.25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</row>
    <row r="580" spans="1:7" x14ac:dyDescent="0.25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</row>
    <row r="581" spans="1:7" x14ac:dyDescent="0.25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</row>
    <row r="582" spans="1:7" x14ac:dyDescent="0.25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</row>
    <row r="583" spans="1:7" x14ac:dyDescent="0.25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</row>
    <row r="584" spans="1:7" x14ac:dyDescent="0.25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</row>
    <row r="585" spans="1:7" x14ac:dyDescent="0.25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</row>
    <row r="586" spans="1:7" x14ac:dyDescent="0.25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</row>
    <row r="587" spans="1:7" x14ac:dyDescent="0.25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</row>
    <row r="588" spans="1:7" x14ac:dyDescent="0.25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</row>
    <row r="589" spans="1:7" x14ac:dyDescent="0.25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</row>
    <row r="590" spans="1:7" x14ac:dyDescent="0.25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</row>
    <row r="591" spans="1:7" x14ac:dyDescent="0.25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</row>
    <row r="592" spans="1:7" x14ac:dyDescent="0.25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</row>
    <row r="593" spans="1:7" x14ac:dyDescent="0.25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</row>
    <row r="594" spans="1:7" x14ac:dyDescent="0.25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</row>
    <row r="595" spans="1:7" x14ac:dyDescent="0.25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</row>
    <row r="596" spans="1:7" x14ac:dyDescent="0.25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</row>
    <row r="597" spans="1:7" x14ac:dyDescent="0.25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</row>
    <row r="598" spans="1:7" x14ac:dyDescent="0.25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</row>
    <row r="599" spans="1:7" x14ac:dyDescent="0.25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</row>
    <row r="600" spans="1:7" x14ac:dyDescent="0.25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</row>
    <row r="601" spans="1:7" x14ac:dyDescent="0.25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</row>
    <row r="602" spans="1:7" x14ac:dyDescent="0.25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</row>
    <row r="603" spans="1:7" x14ac:dyDescent="0.25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</row>
    <row r="604" spans="1:7" x14ac:dyDescent="0.25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</row>
    <row r="605" spans="1:7" x14ac:dyDescent="0.25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</row>
    <row r="606" spans="1:7" x14ac:dyDescent="0.25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</row>
    <row r="607" spans="1:7" x14ac:dyDescent="0.25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</row>
    <row r="608" spans="1:7" x14ac:dyDescent="0.25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</row>
    <row r="609" spans="1:7" x14ac:dyDescent="0.25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</row>
    <row r="610" spans="1:7" x14ac:dyDescent="0.25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</row>
    <row r="611" spans="1:7" x14ac:dyDescent="0.25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</row>
    <row r="612" spans="1:7" x14ac:dyDescent="0.25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</row>
    <row r="613" spans="1:7" x14ac:dyDescent="0.25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</row>
    <row r="614" spans="1:7" x14ac:dyDescent="0.25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</row>
    <row r="615" spans="1:7" x14ac:dyDescent="0.25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</row>
    <row r="616" spans="1:7" x14ac:dyDescent="0.25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</row>
    <row r="617" spans="1:7" x14ac:dyDescent="0.25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</row>
    <row r="618" spans="1:7" x14ac:dyDescent="0.25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</row>
    <row r="619" spans="1:7" x14ac:dyDescent="0.25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</row>
    <row r="620" spans="1:7" x14ac:dyDescent="0.25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</row>
    <row r="621" spans="1:7" x14ac:dyDescent="0.25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</row>
    <row r="622" spans="1:7" x14ac:dyDescent="0.25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</row>
    <row r="623" spans="1:7" x14ac:dyDescent="0.25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</row>
    <row r="624" spans="1:7" x14ac:dyDescent="0.25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</row>
    <row r="625" spans="1:7" x14ac:dyDescent="0.25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</row>
    <row r="626" spans="1:7" x14ac:dyDescent="0.25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</row>
    <row r="627" spans="1:7" x14ac:dyDescent="0.25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</row>
    <row r="628" spans="1:7" x14ac:dyDescent="0.25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</row>
    <row r="629" spans="1:7" x14ac:dyDescent="0.25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</row>
    <row r="630" spans="1:7" x14ac:dyDescent="0.25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</row>
    <row r="631" spans="1:7" x14ac:dyDescent="0.25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</row>
    <row r="632" spans="1:7" x14ac:dyDescent="0.25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</row>
    <row r="633" spans="1:7" x14ac:dyDescent="0.25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</row>
    <row r="634" spans="1:7" x14ac:dyDescent="0.25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</row>
    <row r="635" spans="1:7" x14ac:dyDescent="0.25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</row>
    <row r="636" spans="1:7" x14ac:dyDescent="0.25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</row>
    <row r="637" spans="1:7" x14ac:dyDescent="0.25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</row>
    <row r="638" spans="1:7" x14ac:dyDescent="0.25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</row>
    <row r="639" spans="1:7" x14ac:dyDescent="0.25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</row>
    <row r="640" spans="1:7" x14ac:dyDescent="0.25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</row>
    <row r="641" spans="1:7" x14ac:dyDescent="0.25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</row>
    <row r="642" spans="1:7" x14ac:dyDescent="0.25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</row>
    <row r="643" spans="1:7" x14ac:dyDescent="0.25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</row>
    <row r="644" spans="1:7" x14ac:dyDescent="0.25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</row>
    <row r="645" spans="1:7" x14ac:dyDescent="0.25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</row>
    <row r="646" spans="1:7" x14ac:dyDescent="0.25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</row>
    <row r="647" spans="1:7" x14ac:dyDescent="0.25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</row>
    <row r="648" spans="1:7" x14ac:dyDescent="0.25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</row>
    <row r="649" spans="1:7" x14ac:dyDescent="0.25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</row>
    <row r="650" spans="1:7" x14ac:dyDescent="0.25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</row>
    <row r="651" spans="1:7" x14ac:dyDescent="0.25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</row>
    <row r="652" spans="1:7" x14ac:dyDescent="0.25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</row>
    <row r="653" spans="1:7" x14ac:dyDescent="0.25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</row>
    <row r="654" spans="1:7" x14ac:dyDescent="0.25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</row>
    <row r="655" spans="1:7" x14ac:dyDescent="0.25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</row>
    <row r="656" spans="1:7" x14ac:dyDescent="0.25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</row>
    <row r="657" spans="1:7" x14ac:dyDescent="0.25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</row>
    <row r="658" spans="1:7" x14ac:dyDescent="0.25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</row>
    <row r="659" spans="1:7" x14ac:dyDescent="0.25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</row>
    <row r="660" spans="1:7" x14ac:dyDescent="0.25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</row>
    <row r="661" spans="1:7" x14ac:dyDescent="0.25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</row>
    <row r="662" spans="1:7" x14ac:dyDescent="0.25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</row>
    <row r="663" spans="1:7" x14ac:dyDescent="0.25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</row>
    <row r="664" spans="1:7" x14ac:dyDescent="0.25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</row>
    <row r="665" spans="1:7" x14ac:dyDescent="0.25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</row>
    <row r="666" spans="1:7" x14ac:dyDescent="0.25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</row>
    <row r="667" spans="1:7" x14ac:dyDescent="0.25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</row>
    <row r="668" spans="1:7" x14ac:dyDescent="0.25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</row>
    <row r="669" spans="1:7" x14ac:dyDescent="0.25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</row>
    <row r="670" spans="1:7" x14ac:dyDescent="0.25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</row>
    <row r="671" spans="1:7" x14ac:dyDescent="0.25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</row>
    <row r="672" spans="1:7" x14ac:dyDescent="0.25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</row>
    <row r="673" spans="1:7" x14ac:dyDescent="0.25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</row>
    <row r="674" spans="1:7" x14ac:dyDescent="0.25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</row>
    <row r="675" spans="1:7" x14ac:dyDescent="0.25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</row>
    <row r="676" spans="1:7" x14ac:dyDescent="0.25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</row>
    <row r="677" spans="1:7" x14ac:dyDescent="0.25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</row>
    <row r="678" spans="1:7" x14ac:dyDescent="0.25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</row>
    <row r="679" spans="1:7" x14ac:dyDescent="0.25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</row>
    <row r="680" spans="1:7" x14ac:dyDescent="0.25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</row>
    <row r="681" spans="1:7" x14ac:dyDescent="0.25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</row>
    <row r="682" spans="1:7" x14ac:dyDescent="0.25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</row>
    <row r="683" spans="1:7" x14ac:dyDescent="0.25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</row>
    <row r="684" spans="1:7" x14ac:dyDescent="0.25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</row>
    <row r="685" spans="1:7" x14ac:dyDescent="0.25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</row>
    <row r="686" spans="1:7" x14ac:dyDescent="0.25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</row>
    <row r="687" spans="1:7" x14ac:dyDescent="0.25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</row>
    <row r="688" spans="1:7" x14ac:dyDescent="0.25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</row>
    <row r="689" spans="1:7" x14ac:dyDescent="0.25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</row>
    <row r="690" spans="1:7" x14ac:dyDescent="0.25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</row>
    <row r="691" spans="1:7" x14ac:dyDescent="0.25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</row>
    <row r="692" spans="1:7" x14ac:dyDescent="0.25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</row>
    <row r="693" spans="1:7" x14ac:dyDescent="0.25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</row>
    <row r="694" spans="1:7" x14ac:dyDescent="0.25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</row>
    <row r="695" spans="1:7" x14ac:dyDescent="0.25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</row>
    <row r="696" spans="1:7" x14ac:dyDescent="0.25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</row>
    <row r="697" spans="1:7" x14ac:dyDescent="0.25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</row>
    <row r="698" spans="1:7" x14ac:dyDescent="0.25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</row>
    <row r="699" spans="1:7" x14ac:dyDescent="0.25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</row>
    <row r="700" spans="1:7" x14ac:dyDescent="0.25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</row>
    <row r="701" spans="1:7" x14ac:dyDescent="0.25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</row>
    <row r="702" spans="1:7" x14ac:dyDescent="0.25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</row>
    <row r="703" spans="1:7" x14ac:dyDescent="0.25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</row>
    <row r="704" spans="1:7" x14ac:dyDescent="0.25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</row>
    <row r="705" spans="1:7" x14ac:dyDescent="0.25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</row>
    <row r="706" spans="1:7" x14ac:dyDescent="0.25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</row>
    <row r="707" spans="1:7" x14ac:dyDescent="0.25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</row>
    <row r="708" spans="1:7" x14ac:dyDescent="0.25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</row>
    <row r="709" spans="1:7" x14ac:dyDescent="0.25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</row>
    <row r="710" spans="1:7" x14ac:dyDescent="0.25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</row>
    <row r="711" spans="1:7" x14ac:dyDescent="0.25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</row>
    <row r="712" spans="1:7" x14ac:dyDescent="0.25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</row>
    <row r="713" spans="1:7" x14ac:dyDescent="0.25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</row>
    <row r="714" spans="1:7" x14ac:dyDescent="0.25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</row>
    <row r="715" spans="1:7" x14ac:dyDescent="0.25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</row>
    <row r="716" spans="1:7" x14ac:dyDescent="0.25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</row>
    <row r="717" spans="1:7" x14ac:dyDescent="0.25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</row>
    <row r="718" spans="1:7" x14ac:dyDescent="0.25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</row>
    <row r="719" spans="1:7" x14ac:dyDescent="0.25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</row>
    <row r="720" spans="1:7" x14ac:dyDescent="0.25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</row>
    <row r="721" spans="1:7" x14ac:dyDescent="0.25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</row>
    <row r="722" spans="1:7" x14ac:dyDescent="0.25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</row>
    <row r="723" spans="1:7" x14ac:dyDescent="0.25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</row>
    <row r="724" spans="1:7" x14ac:dyDescent="0.25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</row>
    <row r="725" spans="1:7" x14ac:dyDescent="0.25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</row>
    <row r="726" spans="1:7" x14ac:dyDescent="0.25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</row>
    <row r="727" spans="1:7" x14ac:dyDescent="0.25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</row>
    <row r="728" spans="1:7" x14ac:dyDescent="0.25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</row>
    <row r="729" spans="1:7" x14ac:dyDescent="0.25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</row>
    <row r="730" spans="1:7" x14ac:dyDescent="0.25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</row>
    <row r="731" spans="1:7" x14ac:dyDescent="0.25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</row>
    <row r="732" spans="1:7" x14ac:dyDescent="0.25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</row>
    <row r="733" spans="1:7" x14ac:dyDescent="0.25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</row>
    <row r="734" spans="1:7" x14ac:dyDescent="0.25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</row>
    <row r="735" spans="1:7" x14ac:dyDescent="0.25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</row>
    <row r="736" spans="1:7" x14ac:dyDescent="0.25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</row>
    <row r="737" spans="1:7" x14ac:dyDescent="0.25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</row>
    <row r="738" spans="1:7" x14ac:dyDescent="0.25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</row>
    <row r="739" spans="1:7" x14ac:dyDescent="0.25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</row>
    <row r="740" spans="1:7" x14ac:dyDescent="0.25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</row>
    <row r="741" spans="1:7" x14ac:dyDescent="0.25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</row>
    <row r="742" spans="1:7" x14ac:dyDescent="0.25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</row>
    <row r="743" spans="1:7" x14ac:dyDescent="0.25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</row>
    <row r="744" spans="1:7" x14ac:dyDescent="0.25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</row>
    <row r="745" spans="1:7" x14ac:dyDescent="0.25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</row>
    <row r="746" spans="1:7" x14ac:dyDescent="0.25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</row>
    <row r="747" spans="1:7" x14ac:dyDescent="0.25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</row>
    <row r="748" spans="1:7" x14ac:dyDescent="0.25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</row>
    <row r="749" spans="1:7" x14ac:dyDescent="0.25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</row>
    <row r="750" spans="1:7" x14ac:dyDescent="0.25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</row>
    <row r="751" spans="1:7" x14ac:dyDescent="0.25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</row>
    <row r="752" spans="1:7" x14ac:dyDescent="0.25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</row>
    <row r="753" spans="1:7" x14ac:dyDescent="0.25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</row>
    <row r="754" spans="1:7" x14ac:dyDescent="0.25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</row>
    <row r="755" spans="1:7" x14ac:dyDescent="0.25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</row>
    <row r="756" spans="1:7" x14ac:dyDescent="0.25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</row>
    <row r="757" spans="1:7" x14ac:dyDescent="0.25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</row>
    <row r="758" spans="1:7" x14ac:dyDescent="0.25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</row>
    <row r="759" spans="1:7" x14ac:dyDescent="0.25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</row>
    <row r="760" spans="1:7" x14ac:dyDescent="0.25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</row>
    <row r="761" spans="1:7" x14ac:dyDescent="0.25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</row>
    <row r="762" spans="1:7" x14ac:dyDescent="0.25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</row>
    <row r="763" spans="1:7" x14ac:dyDescent="0.25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</row>
    <row r="764" spans="1:7" x14ac:dyDescent="0.25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</row>
    <row r="765" spans="1:7" x14ac:dyDescent="0.25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</row>
    <row r="766" spans="1:7" x14ac:dyDescent="0.25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</row>
    <row r="767" spans="1:7" x14ac:dyDescent="0.25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</row>
    <row r="768" spans="1:7" x14ac:dyDescent="0.25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</row>
    <row r="769" spans="1:7" x14ac:dyDescent="0.25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</row>
    <row r="770" spans="1:7" x14ac:dyDescent="0.25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</row>
    <row r="771" spans="1:7" x14ac:dyDescent="0.25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</row>
    <row r="772" spans="1:7" x14ac:dyDescent="0.25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</row>
    <row r="773" spans="1:7" x14ac:dyDescent="0.25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</row>
    <row r="774" spans="1:7" x14ac:dyDescent="0.25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</row>
    <row r="775" spans="1:7" x14ac:dyDescent="0.25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</row>
    <row r="776" spans="1:7" x14ac:dyDescent="0.25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</row>
    <row r="777" spans="1:7" x14ac:dyDescent="0.25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</row>
    <row r="778" spans="1:7" x14ac:dyDescent="0.25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</row>
    <row r="779" spans="1:7" x14ac:dyDescent="0.25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7A73-562F-4588-822C-A3260C04AB0B}">
  <dimension ref="A1:G14"/>
  <sheetViews>
    <sheetView tabSelected="1" workbookViewId="0">
      <selection activeCell="G7" sqref="G7"/>
    </sheetView>
  </sheetViews>
  <sheetFormatPr baseColWidth="10" defaultRowHeight="13.2" x14ac:dyDescent="0.25"/>
  <cols>
    <col min="1" max="1" width="13.6640625" bestFit="1" customWidth="1"/>
    <col min="2" max="2" width="16.77734375" bestFit="1" customWidth="1"/>
    <col min="5" max="5" width="13.21875" bestFit="1" customWidth="1"/>
    <col min="6" max="6" width="15.109375" bestFit="1" customWidth="1"/>
    <col min="7" max="7" width="15.33203125" bestFit="1" customWidth="1"/>
  </cols>
  <sheetData>
    <row r="1" spans="1:7" x14ac:dyDescent="0.25">
      <c r="A1" t="s">
        <v>3</v>
      </c>
      <c r="B1" t="s">
        <v>9</v>
      </c>
      <c r="E1" t="s">
        <v>1</v>
      </c>
      <c r="F1" t="s">
        <v>7</v>
      </c>
    </row>
    <row r="2" spans="1:7" x14ac:dyDescent="0.25">
      <c r="E2" t="s">
        <v>6</v>
      </c>
      <c r="F2" t="s">
        <v>26</v>
      </c>
    </row>
    <row r="3" spans="1:7" x14ac:dyDescent="0.25">
      <c r="A3" t="s">
        <v>1</v>
      </c>
      <c r="B3" t="s">
        <v>28</v>
      </c>
    </row>
    <row r="4" spans="1:7" x14ac:dyDescent="0.25">
      <c r="A4" t="s">
        <v>20</v>
      </c>
      <c r="B4">
        <f>COUNTIFS(T_FACTURAS[PROVINCIA],$B$1,T_FACTURAS[FECHA],"&lt;=31/12/2019",T_FACTURAS[CONCEPTO],A4)</f>
        <v>25</v>
      </c>
      <c r="E4" t="s">
        <v>2</v>
      </c>
      <c r="F4" t="s">
        <v>29</v>
      </c>
      <c r="G4" t="s">
        <v>30</v>
      </c>
    </row>
    <row r="5" spans="1:7" x14ac:dyDescent="0.25">
      <c r="A5" t="s">
        <v>7</v>
      </c>
      <c r="B5">
        <f>COUNTIFS(T_FACTURAS[PROVINCIA],$B$1,T_FACTURAS[FECHA],"&lt;=31/12/2019",T_FACTURAS[CONCEPTO],A5)</f>
        <v>23</v>
      </c>
      <c r="E5" t="s">
        <v>25</v>
      </c>
      <c r="F5">
        <f>SUMIFS(T_FACTURAS[IMPORTE],T_FACTURAS[CONCEPTO],$F$1,T_FACTURAS[PAGADA],$F$2,T_FACTURAS[CLIENTE],E5)</f>
        <v>600</v>
      </c>
      <c r="G5">
        <f>AVERAGEIFS(T_FACTURAS[IMPORTE],T_FACTURAS[CONCEPTO],$F$1,T_FACTURAS[PAGADA],$F$2,T_FACTURAS[CLIENTE],E5)</f>
        <v>300</v>
      </c>
    </row>
    <row r="6" spans="1:7" x14ac:dyDescent="0.25">
      <c r="A6" t="s">
        <v>14</v>
      </c>
      <c r="B6">
        <f>COUNTIFS(T_FACTURAS[PROVINCIA],$B$1,T_FACTURAS[FECHA],"&lt;=31/12/2019",T_FACTURAS[CONCEPTO],A6)</f>
        <v>28</v>
      </c>
      <c r="E6" t="s">
        <v>27</v>
      </c>
      <c r="F6">
        <f>SUMIFS(T_FACTURAS[IMPORTE],T_FACTURAS[CONCEPTO],$F$1,T_FACTURAS[PAGADA],$F$2,T_FACTURAS[CLIENTE],E6)</f>
        <v>650</v>
      </c>
      <c r="G6">
        <f>AVERAGEIFS(T_FACTURAS[IMPORTE],T_FACTURAS[CONCEPTO],$F$1,T_FACTURAS[PAGADA],$F$2,T_FACTURAS[CLIENTE],E6)</f>
        <v>325</v>
      </c>
    </row>
    <row r="7" spans="1:7" x14ac:dyDescent="0.25">
      <c r="A7" t="s">
        <v>18</v>
      </c>
      <c r="B7">
        <f>COUNTIFS(T_FACTURAS[PROVINCIA],$B$1,T_FACTURAS[FECHA],"&lt;=31/12/2019",T_FACTURAS[CONCEPTO],A7)</f>
        <v>12</v>
      </c>
      <c r="E7" t="s">
        <v>19</v>
      </c>
      <c r="F7">
        <f>SUMIFS(T_FACTURAS[IMPORTE],T_FACTURAS[CONCEPTO],$F$1,T_FACTURAS[PAGADA],$F$2,T_FACTURAS[CLIENTE],E7)</f>
        <v>1200</v>
      </c>
      <c r="G7">
        <f>AVERAGEIFS(T_FACTURAS[IMPORTE],T_FACTURAS[CONCEPTO],$F$1,T_FACTURAS[PAGADA],$F$2,T_FACTURAS[CLIENTE],E7)</f>
        <v>1200</v>
      </c>
    </row>
    <row r="8" spans="1:7" x14ac:dyDescent="0.25">
      <c r="A8" t="s">
        <v>16</v>
      </c>
      <c r="B8">
        <f>COUNTIFS(T_FACTURAS[PROVINCIA],$B$1,T_FACTURAS[FECHA],"&lt;=31/12/2019",T_FACTURAS[CONCEPTO],A8)</f>
        <v>11</v>
      </c>
      <c r="E8" t="s">
        <v>8</v>
      </c>
      <c r="F8">
        <f>SUMIFS(T_FACTURAS[IMPORTE],T_FACTURAS[CONCEPTO],$F$1,T_FACTURAS[PAGADA],$F$2,T_FACTURAS[CLIENTE],E8)</f>
        <v>5350</v>
      </c>
      <c r="G8">
        <f>AVERAGEIFS(T_FACTURAS[IMPORTE],T_FACTURAS[CONCEPTO],$F$1,T_FACTURAS[PAGADA],$F$2,T_FACTURAS[CLIENTE],E8)</f>
        <v>1783.3333333333333</v>
      </c>
    </row>
    <row r="9" spans="1:7" x14ac:dyDescent="0.25">
      <c r="A9" t="s">
        <v>11</v>
      </c>
      <c r="B9">
        <f>COUNTIFS(T_FACTURAS[PROVINCIA],$B$1,T_FACTURAS[FECHA],"&lt;=31/12/2019",T_FACTURAS[CONCEPTO],A9)</f>
        <v>27</v>
      </c>
      <c r="E9" t="s">
        <v>12</v>
      </c>
      <c r="F9">
        <f>SUMIFS(T_FACTURAS[IMPORTE],T_FACTURAS[CONCEPTO],$F$1,T_FACTURAS[PAGADA],$F$2,T_FACTURAS[CLIENTE],E9)</f>
        <v>18340</v>
      </c>
      <c r="G9">
        <f>AVERAGEIFS(T_FACTURAS[IMPORTE],T_FACTURAS[CONCEPTO],$F$1,T_FACTURAS[PAGADA],$F$2,T_FACTURAS[CLIENTE],E9)</f>
        <v>2037.7777777777778</v>
      </c>
    </row>
    <row r="10" spans="1:7" x14ac:dyDescent="0.25">
      <c r="E10" t="s">
        <v>15</v>
      </c>
      <c r="F10">
        <f>SUMIFS(T_FACTURAS[IMPORTE],T_FACTURAS[CONCEPTO],$F$1,T_FACTURAS[PAGADA],$F$2,T_FACTURAS[CLIENTE],E10)</f>
        <v>2750</v>
      </c>
      <c r="G10">
        <f>AVERAGEIFS(T_FACTURAS[IMPORTE],T_FACTURAS[CONCEPTO],$F$1,T_FACTURAS[PAGADA],$F$2,T_FACTURAS[CLIENTE],E10)</f>
        <v>687.5</v>
      </c>
    </row>
    <row r="11" spans="1:7" x14ac:dyDescent="0.25">
      <c r="E11" t="s">
        <v>17</v>
      </c>
      <c r="F11">
        <f>SUMIFS(T_FACTURAS[IMPORTE],T_FACTURAS[CONCEPTO],$F$1,T_FACTURAS[PAGADA],$F$2,T_FACTURAS[CLIENTE],E11)</f>
        <v>1600</v>
      </c>
      <c r="G11">
        <f>AVERAGEIFS(T_FACTURAS[IMPORTE],T_FACTURAS[CONCEPTO],$F$1,T_FACTURAS[PAGADA],$F$2,T_FACTURAS[CLIENTE],E11)</f>
        <v>320</v>
      </c>
    </row>
    <row r="12" spans="1:7" x14ac:dyDescent="0.25">
      <c r="E12" t="s">
        <v>21</v>
      </c>
      <c r="F12">
        <f>SUMIFS(T_FACTURAS[IMPORTE],T_FACTURAS[CONCEPTO],$F$1,T_FACTURAS[PAGADA],$F$2,T_FACTURAS[CLIENTE],E12)</f>
        <v>5270</v>
      </c>
      <c r="G12">
        <f>AVERAGEIFS(T_FACTURAS[IMPORTE],T_FACTURAS[CONCEPTO],$F$1,T_FACTURAS[PAGADA],$F$2,T_FACTURAS[CLIENTE],E12)</f>
        <v>1317.5</v>
      </c>
    </row>
    <row r="13" spans="1:7" x14ac:dyDescent="0.25">
      <c r="E13" t="s">
        <v>23</v>
      </c>
      <c r="F13">
        <f>SUMIFS(T_FACTURAS[IMPORTE],T_FACTURAS[CONCEPTO],$F$1,T_FACTURAS[PAGADA],$F$2,T_FACTURAS[CLIENTE],E13)</f>
        <v>1790</v>
      </c>
      <c r="G13">
        <f>AVERAGEIFS(T_FACTURAS[IMPORTE],T_FACTURAS[CONCEPTO],$F$1,T_FACTURAS[PAGADA],$F$2,T_FACTURAS[CLIENTE],E13)</f>
        <v>447.5</v>
      </c>
    </row>
    <row r="14" spans="1:7" x14ac:dyDescent="0.25">
      <c r="E14" t="s">
        <v>24</v>
      </c>
      <c r="F14">
        <f>SUMIFS(T_FACTURAS[IMPORTE],T_FACTURAS[CONCEPTO],$F$1,T_FACTURAS[PAGADA],$F$2,T_FACTURAS[CLIENTE],E14)</f>
        <v>10200</v>
      </c>
      <c r="G14">
        <f>AVERAGEIFS(T_FACTURAS[IMPORTE],T_FACTURAS[CONCEPTO],$F$1,T_FACTURAS[PAGADA],$F$2,T_FACTURAS[CLIENTE],E14)</f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2025-03-16T16:12:42Z</dcterms:created>
  <dcterms:modified xsi:type="dcterms:W3CDTF">2025-04-13T16:44:26Z</dcterms:modified>
</cp:coreProperties>
</file>