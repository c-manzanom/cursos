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AE6F5E2D-F972-4739-83D9-258F7B3638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1" r:id="rId1"/>
  </sheets>
  <definedNames>
    <definedName name="Consulta1">GASTOS!$A$1:$E$11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F3" i="1"/>
  <c r="F4" i="1"/>
  <c r="F5" i="1"/>
  <c r="F6" i="1"/>
  <c r="F7" i="1"/>
  <c r="F8" i="1"/>
  <c r="F9" i="1"/>
  <c r="F10" i="1"/>
  <c r="F11" i="1"/>
  <c r="F2" i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<sst xmlns="http://schemas.openxmlformats.org/spreadsheetml/2006/main" count="20" uniqueCount="20">
  <si>
    <t>Num Gasto</t>
  </si>
  <si>
    <t>Fecha Gasto</t>
  </si>
  <si>
    <t>Fecha Pagado</t>
  </si>
  <si>
    <t>Empleado</t>
  </si>
  <si>
    <t>Alejandro Moreno Nieto</t>
  </si>
  <si>
    <t>David Peña Ramírez</t>
  </si>
  <si>
    <t>Marcial Lorenzo Bejarano</t>
  </si>
  <si>
    <t>Juan José Núñez Pérezoso</t>
  </si>
  <si>
    <t>Norberto Ferrando Luna</t>
  </si>
  <si>
    <t>Emilio Fuentes Arona</t>
  </si>
  <si>
    <t>Patricia Jiménez García</t>
  </si>
  <si>
    <t>Carmen Gutierrez Sánchez</t>
  </si>
  <si>
    <t>Fernando García Hernández</t>
  </si>
  <si>
    <t>Sandra Rupérez Martín</t>
  </si>
  <si>
    <t>Fecha Pago</t>
  </si>
  <si>
    <t>Días Lab Pasados</t>
  </si>
  <si>
    <t>Num Gasto Final</t>
  </si>
  <si>
    <t>FESTIVOS</t>
  </si>
  <si>
    <t>Días Pasados</t>
  </si>
  <si>
    <t>Día Semana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</si>
</sst>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2" xfId="0" applyNumberFormat="1" applyBorder="1"/>
    <xf numFmtId="14" fontId="0" fillId="0" borderId="3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1" max="1" width="12" customWidth="1"/>
    <col min="2" max="2" width="26" bestFit="1" customWidth="1"/>
    <col min="3" max="3" width="10.7109375" bestFit="1" customWidth="1"/>
    <col min="4" max="4" width="10.7109375" style="4" customWidth="1"/>
    <col min="5" max="5" width="10.7109375" bestFit="1" customWidth="1"/>
    <col min="6" max="6" width="10.7109375" style="4" customWidth="1"/>
    <col min="7" max="7" width="14" style="4" customWidth="1"/>
    <col min="8" max="8" width="11.5703125" style="4" customWidth="1"/>
    <col min="9" max="9" width="13.28515625" style="4" customWidth="1"/>
    <col min="12" max="12" width="10.5703125" bestFit="1" customWidth="1"/>
  </cols>
  <sheetData>
    <row r="1" spans="1:12" s="2" customFormat="1" ht="30" x14ac:dyDescent="0.25">
      <c r="A1" s="2" t="s">
        <v>0</v>
      </c>
      <c r="B1" s="2" t="s">
        <v>3</v>
      </c>
      <c r="C1" s="2" t="s">
        <v>1</v>
      </c>
      <c r="D1" s="6" t="s">
        <v>14</v>
      </c>
      <c r="E1" s="2" t="s">
        <v>2</v>
      </c>
      <c r="F1" s="6" t="s">
        <v>18</v>
      </c>
      <c r="G1" s="6" t="s">
        <v>15</v>
      </c>
      <c r="H1" s="6" t="s">
        <v>19</v>
      </c>
      <c r="I1" s="6" t="s">
        <v>16</v>
      </c>
      <c r="L1" s="7" t="s">
        <v>17</v>
      </c>
    </row>
    <row r="2" spans="1:12" x14ac:dyDescent="0.25">
      <c r="A2">
        <v>1</v>
      </c>
      <c r="B2" t="s">
        <v>4</v>
      </c>
      <c r="C2" s="1">
        <v>45710</v>
      </c>
      <c r="D2" s="3">
        <f>DATE(YEAR(C2),MONTH(C2)+2,15)</f>
        <v>45762</v>
      </c>
      <c r="E2" s="1">
        <v>45764</v>
      </c>
      <c r="F2" s="5">
        <f>E2-D2</f>
        <v>2</v>
      </c>
      <c r="G2" s="5">
        <f ca="1">NETWORKDAYS.INTL(C2,TODAY(),1,$L$2:$L$5)</f>
        <v>313</v>
      </c>
      <c r="H2" s="4" t="str">
        <f>TEXT(D2,"DDDD")</f>
        <v>martes</v>
      </c>
      <c r="I2" s="4" t="str">
        <f>TEXT(A2,"00")</f>
        <v>01</v>
      </c>
      <c r="L2" s="8">
        <v>45658</v>
      </c>
    </row>
    <row r="3" spans="1:12" x14ac:dyDescent="0.25">
      <c r="A3">
        <v>2</v>
      </c>
      <c r="B3" t="s">
        <v>5</v>
      </c>
      <c r="C3" s="1">
        <v>45709</v>
      </c>
      <c r="D3" s="3">
        <f t="shared" ref="D3:D11" si="0">DATE(YEAR(C3),MONTH(C3)+2,15)</f>
        <v>45762</v>
      </c>
      <c r="E3" s="1">
        <v>45762</v>
      </c>
      <c r="F3" s="5">
        <f t="shared" ref="F3:F11" si="1">E3-D3</f>
        <v>0</v>
      </c>
      <c r="G3" s="5">
        <f t="shared" ref="G3:G11" ca="1" si="2">NETWORKDAYS.INTL(C3,TODAY(),1,$L$2:$L$5)</f>
        <v>314</v>
      </c>
      <c r="H3" s="4" t="str">
        <f t="shared" ref="H3:H11" si="3">TEXT(D3,"DDDD")</f>
        <v>martes</v>
      </c>
      <c r="I3" s="4" t="str">
        <f t="shared" ref="I3:I11" si="4">TEXT(A3,"00")</f>
        <v>02</v>
      </c>
      <c r="L3" s="8">
        <v>45663</v>
      </c>
    </row>
    <row r="4" spans="1:12" x14ac:dyDescent="0.25">
      <c r="A4">
        <v>3</v>
      </c>
      <c r="B4" t="s">
        <v>6</v>
      </c>
      <c r="C4" s="1">
        <v>45718</v>
      </c>
      <c r="D4" s="3">
        <f t="shared" si="0"/>
        <v>45792</v>
      </c>
      <c r="E4" s="1">
        <v>45792</v>
      </c>
      <c r="F4" s="5">
        <f t="shared" si="1"/>
        <v>0</v>
      </c>
      <c r="G4" s="5">
        <f t="shared" ca="1" si="2"/>
        <v>309</v>
      </c>
      <c r="H4" s="4" t="str">
        <f t="shared" si="3"/>
        <v>jueves</v>
      </c>
      <c r="I4" s="4" t="str">
        <f t="shared" si="4"/>
        <v>03</v>
      </c>
      <c r="L4" s="8">
        <v>45716</v>
      </c>
    </row>
    <row r="5" spans="1:12" x14ac:dyDescent="0.25">
      <c r="A5">
        <v>4</v>
      </c>
      <c r="B5" t="s">
        <v>7</v>
      </c>
      <c r="C5" s="1">
        <v>45710</v>
      </c>
      <c r="D5" s="3">
        <f t="shared" si="0"/>
        <v>45762</v>
      </c>
      <c r="E5" s="1">
        <v>45759</v>
      </c>
      <c r="F5" s="5">
        <f t="shared" si="1"/>
        <v>-3</v>
      </c>
      <c r="G5" s="5">
        <f t="shared" ca="1" si="2"/>
        <v>313</v>
      </c>
      <c r="H5" s="4" t="str">
        <f t="shared" si="3"/>
        <v>martes</v>
      </c>
      <c r="I5" s="4" t="str">
        <f t="shared" si="4"/>
        <v>04</v>
      </c>
      <c r="L5" s="9">
        <v>45735</v>
      </c>
    </row>
    <row r="6" spans="1:12" x14ac:dyDescent="0.25">
      <c r="A6">
        <v>5</v>
      </c>
      <c r="B6" t="s">
        <v>8</v>
      </c>
      <c r="C6" s="1">
        <v>45701</v>
      </c>
      <c r="D6" s="3">
        <f t="shared" si="0"/>
        <v>45762</v>
      </c>
      <c r="E6" s="1">
        <v>45760</v>
      </c>
      <c r="F6" s="5">
        <f t="shared" si="1"/>
        <v>-2</v>
      </c>
      <c r="G6" s="5">
        <f t="shared" ca="1" si="2"/>
        <v>320</v>
      </c>
      <c r="H6" s="4" t="str">
        <f t="shared" si="3"/>
        <v>martes</v>
      </c>
      <c r="I6" s="4" t="str">
        <f t="shared" si="4"/>
        <v>05</v>
      </c>
    </row>
    <row r="7" spans="1:12" x14ac:dyDescent="0.25">
      <c r="A7">
        <v>6</v>
      </c>
      <c r="B7" t="s">
        <v>9</v>
      </c>
      <c r="C7" s="1">
        <v>45721</v>
      </c>
      <c r="D7" s="3">
        <f t="shared" si="0"/>
        <v>45792</v>
      </c>
      <c r="E7" s="1">
        <v>45793</v>
      </c>
      <c r="F7" s="5">
        <f t="shared" si="1"/>
        <v>1</v>
      </c>
      <c r="G7" s="5">
        <f t="shared" ca="1" si="2"/>
        <v>307</v>
      </c>
      <c r="H7" s="4" t="str">
        <f t="shared" si="3"/>
        <v>jueves</v>
      </c>
      <c r="I7" s="4" t="str">
        <f t="shared" si="4"/>
        <v>06</v>
      </c>
    </row>
    <row r="8" spans="1:12" x14ac:dyDescent="0.25">
      <c r="A8">
        <v>7</v>
      </c>
      <c r="B8" t="s">
        <v>10</v>
      </c>
      <c r="C8" s="1">
        <v>45659</v>
      </c>
      <c r="D8" s="3">
        <f t="shared" si="0"/>
        <v>45731</v>
      </c>
      <c r="E8" s="1">
        <v>45736</v>
      </c>
      <c r="F8" s="5">
        <f t="shared" si="1"/>
        <v>5</v>
      </c>
      <c r="G8" s="5">
        <f t="shared" ca="1" si="2"/>
        <v>349</v>
      </c>
      <c r="H8" s="4" t="str">
        <f t="shared" si="3"/>
        <v>sábado</v>
      </c>
      <c r="I8" s="4" t="str">
        <f t="shared" si="4"/>
        <v>07</v>
      </c>
    </row>
    <row r="9" spans="1:12" x14ac:dyDescent="0.25">
      <c r="A9">
        <v>8</v>
      </c>
      <c r="B9" t="s">
        <v>11</v>
      </c>
      <c r="C9" s="1">
        <v>45699</v>
      </c>
      <c r="D9" s="3">
        <f t="shared" si="0"/>
        <v>45762</v>
      </c>
      <c r="E9" s="1">
        <v>45762</v>
      </c>
      <c r="F9" s="5">
        <f t="shared" si="1"/>
        <v>0</v>
      </c>
      <c r="G9" s="5">
        <f t="shared" ca="1" si="2"/>
        <v>322</v>
      </c>
      <c r="H9" s="4" t="str">
        <f t="shared" si="3"/>
        <v>martes</v>
      </c>
      <c r="I9" s="4" t="str">
        <f t="shared" si="4"/>
        <v>08</v>
      </c>
    </row>
    <row r="10" spans="1:12" x14ac:dyDescent="0.25">
      <c r="A10">
        <v>9</v>
      </c>
      <c r="B10" t="s">
        <v>12</v>
      </c>
      <c r="C10" s="1">
        <v>45663</v>
      </c>
      <c r="D10" s="3">
        <f t="shared" si="0"/>
        <v>45731</v>
      </c>
      <c r="E10" s="1">
        <v>45731</v>
      </c>
      <c r="F10" s="5">
        <f t="shared" si="1"/>
        <v>0</v>
      </c>
      <c r="G10" s="5">
        <f t="shared" ca="1" si="2"/>
        <v>347</v>
      </c>
      <c r="H10" s="4" t="str">
        <f t="shared" si="3"/>
        <v>sábado</v>
      </c>
      <c r="I10" s="4" t="str">
        <f t="shared" si="4"/>
        <v>09</v>
      </c>
    </row>
    <row r="11" spans="1:12" x14ac:dyDescent="0.25">
      <c r="A11">
        <v>10</v>
      </c>
      <c r="B11" t="s">
        <v>13</v>
      </c>
      <c r="C11" s="1">
        <v>45682</v>
      </c>
      <c r="D11" s="3">
        <f t="shared" si="0"/>
        <v>45731</v>
      </c>
      <c r="E11" s="1">
        <v>45726</v>
      </c>
      <c r="F11" s="5">
        <f t="shared" si="1"/>
        <v>-5</v>
      </c>
      <c r="G11" s="5">
        <f t="shared" ca="1" si="2"/>
        <v>333</v>
      </c>
      <c r="H11" s="4" t="str">
        <f t="shared" si="3"/>
        <v>sábado</v>
      </c>
      <c r="I11" s="4" t="str">
        <f t="shared" si="4"/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GASTOS</vt:lpstr>
      <vt:lpstr>Consulta1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Carlos Manzano</cp:lastModifiedBy>
  <dcterms:created xsi:type="dcterms:W3CDTF">2014-05-08T17:10:58Z</dcterms:created>
  <dcterms:modified xsi:type="dcterms:W3CDTF">2026-05-08T10:19:11Z</dcterms:modified>
</cp:coreProperties>
</file>