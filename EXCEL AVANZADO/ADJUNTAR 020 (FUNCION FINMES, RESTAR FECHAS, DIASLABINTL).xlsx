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08D04F28-585B-487F-B94F-CB6935D74F98}" xr6:coauthVersionLast="47" xr6:coauthVersionMax="47" xr10:uidLastSave="{00000000-0000-0000-0000-000000000000}"/>
  <bookViews>
    <workbookView xWindow="-120" yWindow="-120" windowWidth="20730" windowHeight="11160" xr2:uid="{68509A21-F742-488B-B940-A591955C3D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G4" i="1"/>
  <c r="G5" i="1"/>
  <c r="G6" i="1"/>
  <c r="G7" i="1"/>
  <c r="G8" i="1"/>
  <c r="G9" i="1"/>
  <c r="G10" i="1"/>
  <c r="G3" i="1"/>
  <c r="F4" i="1"/>
  <c r="F5" i="1"/>
  <c r="F6" i="1"/>
  <c r="F7" i="1"/>
  <c r="F8" i="1"/>
  <c r="F9" i="1"/>
  <c r="F10" i="1"/>
  <c r="F3" i="1"/>
  <c r="E4" i="1"/>
  <c r="E5" i="1"/>
  <c r="E6" i="1"/>
  <c r="E7" i="1"/>
  <c r="E8" i="1"/>
  <c r="E9" i="1"/>
  <c r="E10" i="1"/>
  <c r="E3" i="1"/>
  <c r="D4" i="1"/>
  <c r="D5" i="1"/>
  <c r="D6" i="1"/>
  <c r="D7" i="1"/>
  <c r="D8" i="1"/>
  <c r="D9" i="1"/>
  <c r="D10" i="1"/>
  <c r="D3" i="1"/>
</calcChain>
</file>

<file path=xl/sharedStrings.xml><?xml version="1.0" encoding="utf-8"?>
<sst xmlns="http://schemas.openxmlformats.org/spreadsheetml/2006/main" count="10" uniqueCount="10">
  <si>
    <t>DIA</t>
  </si>
  <si>
    <t>MES</t>
  </si>
  <si>
    <t>AÑO</t>
  </si>
  <si>
    <t>FECHA</t>
  </si>
  <si>
    <t>FIN MES 2</t>
  </si>
  <si>
    <t>DIAS PASADOS</t>
  </si>
  <si>
    <t>FIN.MES(fecha_inicial; meses)  Con esta función sumamos un número de meses a una fecha, y devuelve como resultado otra fecha, tantos meses más tarde como le sumamos, y siempre el último día del mes. </t>
  </si>
  <si>
    <t>DIAS.LAB.INTL(fecha_inicial;fecha_final;[fin_de_semana];[días_no_laborables] </t>
  </si>
  <si>
    <t>DIAS LABORABLES</t>
  </si>
  <si>
    <t>HOY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</si>
</sst>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2"/>
      <color rgb="FFFF0000"/>
      <name val="Arial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75A20-E7E5-4BD1-B223-3BD1ADDD7B88}">
  <dimension ref="A1:H10"/>
  <sheetViews>
    <sheetView tabSelected="1" workbookViewId="0">
      <selection activeCell="H4" sqref="H4"/>
    </sheetView>
  </sheetViews>
  <sheetFormatPr baseColWidth="10" defaultRowHeight="15" x14ac:dyDescent="0.25"/>
  <cols>
    <col min="5" max="7" width="11.42578125" style="3"/>
  </cols>
  <sheetData>
    <row r="1" spans="1:8" ht="15.75" x14ac:dyDescent="0.25">
      <c r="E1" s="2" t="s">
        <v>6</v>
      </c>
      <c r="G1" s="2" t="s">
        <v>7</v>
      </c>
      <c r="H1" s="2"/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s="3" t="s">
        <v>4</v>
      </c>
      <c r="F2" s="3" t="s">
        <v>5</v>
      </c>
      <c r="G2" s="3" t="s">
        <v>8</v>
      </c>
      <c r="H2" s="3" t="s">
        <v>9</v>
      </c>
    </row>
    <row r="3" spans="1:8" x14ac:dyDescent="0.25">
      <c r="A3">
        <v>1</v>
      </c>
      <c r="B3">
        <v>11</v>
      </c>
      <c r="C3">
        <v>2023</v>
      </c>
      <c r="D3" s="1">
        <f>DATE(C3,B3,A3)</f>
        <v>45231</v>
      </c>
      <c r="E3" s="4">
        <f>EOMONTH(D3,2)</f>
        <v>45322</v>
      </c>
      <c r="F3" s="3">
        <f>E3-D3</f>
        <v>91</v>
      </c>
      <c r="G3" s="3">
        <f>NETWORKDAYS.INTL(D3,E3,1)</f>
        <v>66</v>
      </c>
      <c r="H3" s="1">
        <f ca="1">TODAY()</f>
        <v>46150</v>
      </c>
    </row>
    <row r="4" spans="1:8" x14ac:dyDescent="0.25">
      <c r="A4">
        <v>19</v>
      </c>
      <c r="B4">
        <v>9</v>
      </c>
      <c r="C4">
        <v>2023</v>
      </c>
      <c r="D4" s="1">
        <f t="shared" ref="D4:D10" si="0">DATE(C4,B4,A4)</f>
        <v>45188</v>
      </c>
      <c r="E4" s="4">
        <f t="shared" ref="E4:E10" si="1">EOMONTH(D4,2)</f>
        <v>45260</v>
      </c>
      <c r="F4" s="3">
        <f t="shared" ref="F4:F10" si="2">E4-D4</f>
        <v>72</v>
      </c>
      <c r="G4" s="3">
        <f t="shared" ref="G4:G10" si="3">NETWORKDAYS.INTL(D4,E4,1)</f>
        <v>53</v>
      </c>
    </row>
    <row r="5" spans="1:8" x14ac:dyDescent="0.25">
      <c r="A5">
        <v>7</v>
      </c>
      <c r="B5">
        <v>4</v>
      </c>
      <c r="C5">
        <v>2023</v>
      </c>
      <c r="D5" s="1">
        <f t="shared" si="0"/>
        <v>45023</v>
      </c>
      <c r="E5" s="4">
        <f t="shared" si="1"/>
        <v>45107</v>
      </c>
      <c r="F5" s="3">
        <f t="shared" si="2"/>
        <v>84</v>
      </c>
      <c r="G5" s="3">
        <f t="shared" si="3"/>
        <v>61</v>
      </c>
    </row>
    <row r="6" spans="1:8" x14ac:dyDescent="0.25">
      <c r="A6">
        <v>12</v>
      </c>
      <c r="B6">
        <v>4</v>
      </c>
      <c r="C6">
        <v>2023</v>
      </c>
      <c r="D6" s="1">
        <f t="shared" si="0"/>
        <v>45028</v>
      </c>
      <c r="E6" s="4">
        <f t="shared" si="1"/>
        <v>45107</v>
      </c>
      <c r="F6" s="3">
        <f t="shared" si="2"/>
        <v>79</v>
      </c>
      <c r="G6" s="3">
        <f t="shared" si="3"/>
        <v>58</v>
      </c>
    </row>
    <row r="7" spans="1:8" x14ac:dyDescent="0.25">
      <c r="A7">
        <v>28</v>
      </c>
      <c r="B7">
        <v>2</v>
      </c>
      <c r="C7">
        <v>2024</v>
      </c>
      <c r="D7" s="1">
        <f t="shared" si="0"/>
        <v>45350</v>
      </c>
      <c r="E7" s="4">
        <f t="shared" si="1"/>
        <v>45412</v>
      </c>
      <c r="F7" s="3">
        <f t="shared" si="2"/>
        <v>62</v>
      </c>
      <c r="G7" s="3">
        <f t="shared" si="3"/>
        <v>45</v>
      </c>
    </row>
    <row r="8" spans="1:8" x14ac:dyDescent="0.25">
      <c r="A8">
        <v>21</v>
      </c>
      <c r="B8">
        <v>5</v>
      </c>
      <c r="C8">
        <v>2023</v>
      </c>
      <c r="D8" s="1">
        <f t="shared" si="0"/>
        <v>45067</v>
      </c>
      <c r="E8" s="4">
        <f t="shared" si="1"/>
        <v>45138</v>
      </c>
      <c r="F8" s="3">
        <f t="shared" si="2"/>
        <v>71</v>
      </c>
      <c r="G8" s="3">
        <f t="shared" si="3"/>
        <v>51</v>
      </c>
    </row>
    <row r="9" spans="1:8" x14ac:dyDescent="0.25">
      <c r="A9">
        <v>1</v>
      </c>
      <c r="B9">
        <v>5</v>
      </c>
      <c r="C9">
        <v>2023</v>
      </c>
      <c r="D9" s="1">
        <f t="shared" si="0"/>
        <v>45047</v>
      </c>
      <c r="E9" s="4">
        <f t="shared" si="1"/>
        <v>45138</v>
      </c>
      <c r="F9" s="3">
        <f t="shared" si="2"/>
        <v>91</v>
      </c>
      <c r="G9" s="3">
        <f t="shared" si="3"/>
        <v>66</v>
      </c>
    </row>
    <row r="10" spans="1:8" x14ac:dyDescent="0.25">
      <c r="A10">
        <v>10</v>
      </c>
      <c r="B10">
        <v>6</v>
      </c>
      <c r="C10">
        <v>2024</v>
      </c>
      <c r="D10" s="1">
        <f t="shared" si="0"/>
        <v>45453</v>
      </c>
      <c r="E10" s="4">
        <f t="shared" si="1"/>
        <v>45535</v>
      </c>
      <c r="F10" s="3">
        <f t="shared" si="2"/>
        <v>82</v>
      </c>
      <c r="G10" s="3">
        <f t="shared" si="3"/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Carlos Manzano</cp:lastModifiedBy>
  <dcterms:created xsi:type="dcterms:W3CDTF">2025-03-07T14:39:39Z</dcterms:created>
  <dcterms:modified xsi:type="dcterms:W3CDTF">2026-05-08T10:05:39Z</dcterms:modified>
</cp:coreProperties>
</file>