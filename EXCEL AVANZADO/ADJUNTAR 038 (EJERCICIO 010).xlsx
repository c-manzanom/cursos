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6054C5AB-B1D2-4141-95B2-3FA027239C3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JERCICIO 1" sheetId="1" r:id="rId1"/>
    <sheet name="EJERCICIO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2" i="2"/>
  <c r="G2" i="1" a="1"/>
  <c r="G2" i="1" s="1"/>
  <c r="F3" i="1"/>
  <c r="F4" i="1"/>
  <c r="F5" i="1"/>
  <c r="F6" i="1"/>
  <c r="F7" i="1"/>
  <c r="F8" i="1"/>
  <c r="F9" i="1"/>
  <c r="F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<sst xmlns="http://schemas.openxmlformats.org/spreadsheetml/2006/main" count="64" uniqueCount="46">
  <si>
    <t>ALUMNO</t>
  </si>
  <si>
    <t>NOTA</t>
  </si>
  <si>
    <t>CALIFICACION</t>
  </si>
  <si>
    <t>AL001</t>
  </si>
  <si>
    <t>AL002</t>
  </si>
  <si>
    <t>AL003</t>
  </si>
  <si>
    <t>AL004</t>
  </si>
  <si>
    <t>AL005</t>
  </si>
  <si>
    <t>AL006</t>
  </si>
  <si>
    <t>AL007</t>
  </si>
  <si>
    <t>AL008</t>
  </si>
  <si>
    <t>EVA1</t>
  </si>
  <si>
    <t>EVA2</t>
  </si>
  <si>
    <t>EVA3</t>
  </si>
  <si>
    <t>EVA4</t>
  </si>
  <si>
    <t>MEDIA</t>
  </si>
  <si>
    <t>MUY DEFICIENTE</t>
  </si>
  <si>
    <t>INSUFICIENTE</t>
  </si>
  <si>
    <t>SUFICIENTE</t>
  </si>
  <si>
    <t>NOTABLE</t>
  </si>
  <si>
    <t>SOBRESALIENTE</t>
  </si>
  <si>
    <t>CODIGO</t>
  </si>
  <si>
    <t>MODELO</t>
  </si>
  <si>
    <t>TALLA</t>
  </si>
  <si>
    <t>COLOR</t>
  </si>
  <si>
    <t>RTYU</t>
  </si>
  <si>
    <t>ASD</t>
  </si>
  <si>
    <t>MOD-001</t>
  </si>
  <si>
    <t>AZUL</t>
  </si>
  <si>
    <t>XL</t>
  </si>
  <si>
    <t>DFGH</t>
  </si>
  <si>
    <t>FD</t>
  </si>
  <si>
    <t>MOD-002</t>
  </si>
  <si>
    <t>ROJO</t>
  </si>
  <si>
    <t>M</t>
  </si>
  <si>
    <t>GHJK</t>
  </si>
  <si>
    <t>MOD-003</t>
  </si>
  <si>
    <t>VERDE</t>
  </si>
  <si>
    <t>S</t>
  </si>
  <si>
    <t>MOD-004</t>
  </si>
  <si>
    <t>AMARILLO</t>
  </si>
  <si>
    <t>L</t>
  </si>
  <si>
    <t>MOD-005</t>
  </si>
  <si>
    <t>GRIS</t>
  </si>
  <si>
    <t>X</t>
  </si>
  <si>
    <t>ssdsd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</si>
</sst>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0" fillId="2" borderId="0" xfId="0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DEF0B1-A729-4D14-8E5B-5A35F0DB510B}" name="T_CODIGOS" displayName="T_CODIGOS" ref="E1:H6" totalsRowShown="0" headerRowDxfId="0">
  <autoFilter ref="E1:H6" xr:uid="{F8DEF0B1-A729-4D14-8E5B-5A35F0DB510B}"/>
  <tableColumns count="4">
    <tableColumn id="1" xr3:uid="{D226A25D-0568-4237-9151-2FD10524505B}" name="CODIGO"/>
    <tableColumn id="2" xr3:uid="{936DCAA9-AF2A-4B14-9EC2-DE4431F8C1E3}" name="MODELO"/>
    <tableColumn id="3" xr3:uid="{46BCF270-21FF-403D-856D-FF870497DDA7}" name="COLOR"/>
    <tableColumn id="4" xr3:uid="{D07D2C1E-E03C-45C6-85D1-8C1051341E93}" name="TAL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G3" sqref="G3"/>
    </sheetView>
  </sheetViews>
  <sheetFormatPr baseColWidth="10" defaultRowHeight="15" x14ac:dyDescent="0.25"/>
  <cols>
    <col min="1" max="1" width="15.140625" bestFit="1" customWidth="1"/>
    <col min="2" max="6" width="13.28515625" customWidth="1"/>
    <col min="7" max="7" width="15.42578125" bestFit="1" customWidth="1"/>
  </cols>
  <sheetData>
    <row r="1" spans="1:7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s="3" t="s">
        <v>15</v>
      </c>
      <c r="G1" s="3" t="s">
        <v>2</v>
      </c>
    </row>
    <row r="2" spans="1:7" x14ac:dyDescent="0.25">
      <c r="A2" t="s">
        <v>3</v>
      </c>
      <c r="B2">
        <v>2.5</v>
      </c>
      <c r="C2">
        <v>5</v>
      </c>
      <c r="D2">
        <v>7.5</v>
      </c>
      <c r="E2">
        <v>4</v>
      </c>
      <c r="F2" s="3">
        <f>AVERAGE(B2:E2)</f>
        <v>4.75</v>
      </c>
      <c r="G2" s="4" t="str" cm="1">
        <f t="array" ref="G2:G9">_xlfn.XLOOKUP($F$2:F$9,B$14:B$18,$A$14:$A$18,"ERROR",-1,)</f>
        <v>SUFICIENTE</v>
      </c>
    </row>
    <row r="3" spans="1:7" x14ac:dyDescent="0.25">
      <c r="A3" t="s">
        <v>4</v>
      </c>
      <c r="B3">
        <v>6</v>
      </c>
      <c r="C3">
        <v>8</v>
      </c>
      <c r="D3">
        <v>7.5</v>
      </c>
      <c r="E3">
        <v>9</v>
      </c>
      <c r="F3" s="3">
        <f t="shared" ref="F3:F9" si="0">AVERAGE(B3:E3)</f>
        <v>7.625</v>
      </c>
      <c r="G3" s="4" t="str">
        <v>NOTABLE</v>
      </c>
    </row>
    <row r="4" spans="1:7" x14ac:dyDescent="0.25">
      <c r="A4" t="s">
        <v>5</v>
      </c>
      <c r="B4">
        <v>10</v>
      </c>
      <c r="C4">
        <v>8</v>
      </c>
      <c r="D4">
        <v>6.5</v>
      </c>
      <c r="E4">
        <v>9.5</v>
      </c>
      <c r="F4" s="3">
        <f t="shared" si="0"/>
        <v>8.5</v>
      </c>
      <c r="G4" s="4" t="str">
        <v>SOBRESALIENTE</v>
      </c>
    </row>
    <row r="5" spans="1:7" x14ac:dyDescent="0.25">
      <c r="A5" t="s">
        <v>6</v>
      </c>
      <c r="B5">
        <v>1.5</v>
      </c>
      <c r="C5">
        <v>2.5</v>
      </c>
      <c r="D5">
        <v>3</v>
      </c>
      <c r="E5">
        <v>6</v>
      </c>
      <c r="F5" s="3">
        <f t="shared" si="0"/>
        <v>3.25</v>
      </c>
      <c r="G5" s="4" t="str">
        <v>INSUFICIENTE</v>
      </c>
    </row>
    <row r="6" spans="1:7" x14ac:dyDescent="0.25">
      <c r="A6" t="s">
        <v>7</v>
      </c>
      <c r="B6">
        <v>8.5</v>
      </c>
      <c r="C6">
        <v>5.5</v>
      </c>
      <c r="D6">
        <v>6</v>
      </c>
      <c r="E6">
        <v>7</v>
      </c>
      <c r="F6" s="3">
        <f t="shared" si="0"/>
        <v>6.75</v>
      </c>
      <c r="G6" s="4" t="str">
        <v>NOTABLE</v>
      </c>
    </row>
    <row r="7" spans="1:7" x14ac:dyDescent="0.25">
      <c r="A7" t="s">
        <v>8</v>
      </c>
      <c r="B7">
        <v>3</v>
      </c>
      <c r="C7">
        <v>2</v>
      </c>
      <c r="D7">
        <v>1</v>
      </c>
      <c r="E7">
        <v>1</v>
      </c>
      <c r="F7" s="3">
        <f t="shared" si="0"/>
        <v>1.75</v>
      </c>
      <c r="G7" s="4" t="str">
        <v>MUY DEFICIENTE</v>
      </c>
    </row>
    <row r="8" spans="1:7" x14ac:dyDescent="0.25">
      <c r="A8" t="s">
        <v>9</v>
      </c>
      <c r="B8">
        <v>5</v>
      </c>
      <c r="C8">
        <v>6</v>
      </c>
      <c r="D8">
        <v>8</v>
      </c>
      <c r="E8">
        <v>10</v>
      </c>
      <c r="F8" s="3">
        <f t="shared" si="0"/>
        <v>7.25</v>
      </c>
      <c r="G8" s="4" t="str">
        <v>NOTABLE</v>
      </c>
    </row>
    <row r="9" spans="1:7" x14ac:dyDescent="0.25">
      <c r="A9" t="s">
        <v>10</v>
      </c>
      <c r="B9">
        <v>1.5</v>
      </c>
      <c r="C9">
        <v>2.5</v>
      </c>
      <c r="D9">
        <v>1.5</v>
      </c>
      <c r="E9">
        <v>1</v>
      </c>
      <c r="F9" s="3">
        <f t="shared" si="0"/>
        <v>1.625</v>
      </c>
      <c r="G9" s="4" t="str">
        <v>MUY DEFICIENTE</v>
      </c>
    </row>
    <row r="13" spans="1:7" x14ac:dyDescent="0.25">
      <c r="A13" s="1" t="s">
        <v>2</v>
      </c>
      <c r="B13" s="1" t="s">
        <v>1</v>
      </c>
    </row>
    <row r="14" spans="1:7" x14ac:dyDescent="0.25">
      <c r="A14" s="1" t="s">
        <v>16</v>
      </c>
      <c r="B14" s="1">
        <v>0</v>
      </c>
    </row>
    <row r="15" spans="1:7" x14ac:dyDescent="0.25">
      <c r="A15" s="1" t="s">
        <v>17</v>
      </c>
      <c r="B15" s="1">
        <v>2</v>
      </c>
    </row>
    <row r="16" spans="1:7" x14ac:dyDescent="0.25">
      <c r="A16" s="1" t="s">
        <v>18</v>
      </c>
      <c r="B16" s="1">
        <v>4.5</v>
      </c>
    </row>
    <row r="17" spans="1:2" x14ac:dyDescent="0.25">
      <c r="A17" s="1" t="s">
        <v>19</v>
      </c>
      <c r="B17" s="1">
        <v>6.5</v>
      </c>
    </row>
    <row r="18" spans="1:2" x14ac:dyDescent="0.25">
      <c r="A18" s="1" t="s">
        <v>20</v>
      </c>
      <c r="B18" s="1">
        <v>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workbookViewId="0">
      <selection activeCell="D15" sqref="D15"/>
    </sheetView>
  </sheetViews>
  <sheetFormatPr baseColWidth="10" defaultRowHeight="15" x14ac:dyDescent="0.25"/>
  <cols>
    <col min="3" max="3" width="11.42578125" style="7"/>
  </cols>
  <sheetData>
    <row r="1" spans="1:8" x14ac:dyDescent="0.25">
      <c r="A1" s="2" t="s">
        <v>21</v>
      </c>
      <c r="B1" s="5" t="s">
        <v>22</v>
      </c>
      <c r="C1" s="5" t="s">
        <v>23</v>
      </c>
      <c r="E1" s="2" t="s">
        <v>21</v>
      </c>
      <c r="F1" s="2" t="s">
        <v>22</v>
      </c>
      <c r="G1" s="2" t="s">
        <v>24</v>
      </c>
      <c r="H1" s="2" t="s">
        <v>23</v>
      </c>
    </row>
    <row r="2" spans="1:8" x14ac:dyDescent="0.25">
      <c r="A2" t="s">
        <v>25</v>
      </c>
      <c r="B2" s="4" t="str">
        <f>_xlfn.XLOOKUP(A2,T_CODIGOS[CODIGO],T_CODIGOS[MODELO],"ERROR",0)</f>
        <v>MOD-004</v>
      </c>
      <c r="C2" s="8" t="str">
        <f>_xlfn.XLOOKUP(A2,T_CODIGOS[CODIGO],T_CODIGOS[TALLA],"ERROR",0)</f>
        <v>L</v>
      </c>
      <c r="E2" t="s">
        <v>26</v>
      </c>
      <c r="F2" t="s">
        <v>27</v>
      </c>
      <c r="G2" t="s">
        <v>28</v>
      </c>
      <c r="H2" t="s">
        <v>29</v>
      </c>
    </row>
    <row r="3" spans="1:8" x14ac:dyDescent="0.25">
      <c r="A3" t="s">
        <v>30</v>
      </c>
      <c r="B3" s="4" t="str">
        <f>_xlfn.XLOOKUP(A3,T_CODIGOS[CODIGO],T_CODIGOS[MODELO],"ERROR",0)</f>
        <v>MOD-005</v>
      </c>
      <c r="C3" s="8" t="str">
        <f>_xlfn.XLOOKUP(A3,T_CODIGOS[CODIGO],T_CODIGOS[TALLA],"ERROR",0)</f>
        <v>X</v>
      </c>
      <c r="E3" t="s">
        <v>31</v>
      </c>
      <c r="F3" t="s">
        <v>32</v>
      </c>
      <c r="G3" t="s">
        <v>33</v>
      </c>
      <c r="H3" t="s">
        <v>34</v>
      </c>
    </row>
    <row r="4" spans="1:8" x14ac:dyDescent="0.25">
      <c r="A4" t="s">
        <v>31</v>
      </c>
      <c r="B4" s="4" t="str">
        <f>_xlfn.XLOOKUP(A4,T_CODIGOS[CODIGO],T_CODIGOS[MODELO],"ERROR",0)</f>
        <v>MOD-002</v>
      </c>
      <c r="C4" s="8" t="str">
        <f>_xlfn.XLOOKUP(A4,T_CODIGOS[CODIGO],T_CODIGOS[TALLA],"ERROR",0)</f>
        <v>M</v>
      </c>
      <c r="E4" t="s">
        <v>35</v>
      </c>
      <c r="F4" t="s">
        <v>36</v>
      </c>
      <c r="G4" t="s">
        <v>37</v>
      </c>
      <c r="H4" t="s">
        <v>38</v>
      </c>
    </row>
    <row r="5" spans="1:8" x14ac:dyDescent="0.25">
      <c r="A5" t="s">
        <v>25</v>
      </c>
      <c r="B5" s="4" t="str">
        <f>_xlfn.XLOOKUP(A5,T_CODIGOS[CODIGO],T_CODIGOS[MODELO],"ERROR",0)</f>
        <v>MOD-004</v>
      </c>
      <c r="C5" s="8" t="str">
        <f>_xlfn.XLOOKUP(A5,T_CODIGOS[CODIGO],T_CODIGOS[TALLA],"ERROR",0)</f>
        <v>L</v>
      </c>
      <c r="E5" t="s">
        <v>25</v>
      </c>
      <c r="F5" t="s">
        <v>39</v>
      </c>
      <c r="G5" t="s">
        <v>40</v>
      </c>
      <c r="H5" t="s">
        <v>41</v>
      </c>
    </row>
    <row r="6" spans="1:8" x14ac:dyDescent="0.25">
      <c r="A6" t="s">
        <v>30</v>
      </c>
      <c r="B6" s="4" t="str">
        <f>_xlfn.XLOOKUP(A6,T_CODIGOS[CODIGO],T_CODIGOS[MODELO],"ERROR",0)</f>
        <v>MOD-005</v>
      </c>
      <c r="C6" s="8" t="str">
        <f>_xlfn.XLOOKUP(A6,T_CODIGOS[CODIGO],T_CODIGOS[TALLA],"ERROR",0)</f>
        <v>X</v>
      </c>
      <c r="E6" t="s">
        <v>30</v>
      </c>
      <c r="F6" t="s">
        <v>42</v>
      </c>
      <c r="G6" t="s">
        <v>43</v>
      </c>
      <c r="H6" t="s">
        <v>44</v>
      </c>
    </row>
    <row r="7" spans="1:8" x14ac:dyDescent="0.25">
      <c r="A7" t="s">
        <v>31</v>
      </c>
      <c r="B7" s="4" t="str">
        <f>_xlfn.XLOOKUP(A7,T_CODIGOS[CODIGO],T_CODIGOS[MODELO],"ERROR",0)</f>
        <v>MOD-002</v>
      </c>
      <c r="C7" s="8" t="str">
        <f>_xlfn.XLOOKUP(A7,T_CODIGOS[CODIGO],T_CODIGOS[TALLA],"ERROR",0)</f>
        <v>M</v>
      </c>
    </row>
    <row r="8" spans="1:8" x14ac:dyDescent="0.25">
      <c r="A8" t="s">
        <v>35</v>
      </c>
      <c r="B8" s="4" t="str">
        <f>_xlfn.XLOOKUP(A8,T_CODIGOS[CODIGO],T_CODIGOS[MODELO],"ERROR",0)</f>
        <v>MOD-003</v>
      </c>
      <c r="C8" s="8" t="str">
        <f>_xlfn.XLOOKUP(A8,T_CODIGOS[CODIGO],T_CODIGOS[TALLA],"ERROR",0)</f>
        <v>S</v>
      </c>
    </row>
    <row r="9" spans="1:8" x14ac:dyDescent="0.25">
      <c r="A9" t="s">
        <v>25</v>
      </c>
      <c r="B9" s="4" t="str">
        <f>_xlfn.XLOOKUP(A9,T_CODIGOS[CODIGO],T_CODIGOS[MODELO],"ERROR",0)</f>
        <v>MOD-004</v>
      </c>
      <c r="C9" s="8" t="str">
        <f>_xlfn.XLOOKUP(A9,T_CODIGOS[CODIGO],T_CODIGOS[TALLA],"ERROR",0)</f>
        <v>L</v>
      </c>
    </row>
    <row r="10" spans="1:8" x14ac:dyDescent="0.25">
      <c r="A10" t="s">
        <v>35</v>
      </c>
      <c r="B10" s="4" t="str">
        <f>_xlfn.XLOOKUP(A10,T_CODIGOS[CODIGO],T_CODIGOS[MODELO],"ERROR",0)</f>
        <v>MOD-003</v>
      </c>
      <c r="C10" s="8" t="str">
        <f>_xlfn.XLOOKUP(A10,T_CODIGOS[CODIGO],T_CODIGOS[TALLA],"ERROR",0)</f>
        <v>S</v>
      </c>
    </row>
    <row r="11" spans="1:8" x14ac:dyDescent="0.25">
      <c r="A11" t="s">
        <v>25</v>
      </c>
      <c r="B11" s="4" t="str">
        <f>_xlfn.XLOOKUP(A11,T_CODIGOS[CODIGO],T_CODIGOS[MODELO],"ERROR",0)</f>
        <v>MOD-004</v>
      </c>
      <c r="C11" s="8" t="str">
        <f>_xlfn.XLOOKUP(A11,T_CODIGOS[CODIGO],T_CODIGOS[TALLA],"ERROR",0)</f>
        <v>L</v>
      </c>
    </row>
    <row r="12" spans="1:8" x14ac:dyDescent="0.25">
      <c r="A12" t="s">
        <v>30</v>
      </c>
      <c r="B12" s="4" t="str">
        <f>_xlfn.XLOOKUP(A12,T_CODIGOS[CODIGO],T_CODIGOS[MODELO],"ERROR",0)</f>
        <v>MOD-005</v>
      </c>
      <c r="C12" s="8" t="str">
        <f>_xlfn.XLOOKUP(A12,T_CODIGOS[CODIGO],T_CODIGOS[TALLA],"ERROR",0)</f>
        <v>X</v>
      </c>
    </row>
    <row r="13" spans="1:8" x14ac:dyDescent="0.25">
      <c r="A13" t="s">
        <v>26</v>
      </c>
      <c r="B13" s="4" t="str">
        <f>_xlfn.XLOOKUP(A13,T_CODIGOS[CODIGO],T_CODIGOS[MODELO],"ERROR",0)</f>
        <v>MOD-001</v>
      </c>
      <c r="C13" s="8" t="str">
        <f>_xlfn.XLOOKUP(A13,T_CODIGOS[CODIGO],T_CODIGOS[TALLA],"ERROR",0)</f>
        <v>XL</v>
      </c>
    </row>
    <row r="14" spans="1:8" x14ac:dyDescent="0.25">
      <c r="A14" t="s">
        <v>31</v>
      </c>
      <c r="B14" s="4" t="str">
        <f>_xlfn.XLOOKUP(A14,T_CODIGOS[CODIGO],T_CODIGOS[MODELO],"ERROR",0)</f>
        <v>MOD-002</v>
      </c>
      <c r="C14" s="8" t="str">
        <f>_xlfn.XLOOKUP(A14,T_CODIGOS[CODIGO],T_CODIGOS[TALLA],"ERROR",0)</f>
        <v>M</v>
      </c>
    </row>
    <row r="15" spans="1:8" x14ac:dyDescent="0.25">
      <c r="A15" t="s">
        <v>35</v>
      </c>
      <c r="B15" s="4" t="str">
        <f>_xlfn.XLOOKUP(A15,T_CODIGOS[CODIGO],T_CODIGOS[MODELO],"ERROR",0)</f>
        <v>MOD-003</v>
      </c>
      <c r="C15" s="8" t="str">
        <f>_xlfn.XLOOKUP(A15,T_CODIGOS[CODIGO],T_CODIGOS[TALLA],"ERROR",0)</f>
        <v>S</v>
      </c>
    </row>
    <row r="16" spans="1:8" x14ac:dyDescent="0.25">
      <c r="A16" s="6" t="s">
        <v>45</v>
      </c>
      <c r="B16" s="4" t="str">
        <f>_xlfn.XLOOKUP(A16,T_CODIGOS[CODIGO],T_CODIGOS[MODELO],"ERROR",0)</f>
        <v>ERROR</v>
      </c>
      <c r="C16" s="8" t="str">
        <f>_xlfn.XLOOKUP(A16,T_CODIGOS[CODIGO],T_CODIGOS[TALLA],"ERROR",0)</f>
        <v>ERROR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 1</vt:lpstr>
      <vt:lpstr>EJERCICIO 2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Carlos Manzano</cp:lastModifiedBy>
  <dcterms:created xsi:type="dcterms:W3CDTF">2011-06-05T20:48:11Z</dcterms:created>
  <dcterms:modified xsi:type="dcterms:W3CDTF">2026-05-19T09:11:08Z</dcterms:modified>
</cp:coreProperties>
</file>