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ond\Desktop\PARA CURSO GLOBAL ALUMINI\04 FUNCIONES MATRICIALES\"/>
    </mc:Choice>
  </mc:AlternateContent>
  <xr:revisionPtr revIDLastSave="0" documentId="8_{3185076C-887A-4428-922C-A62D9AB46FB2}" xr6:coauthVersionLast="47" xr6:coauthVersionMax="47" xr10:uidLastSave="{00000000-0000-0000-0000-000000000000}"/>
  <bookViews>
    <workbookView xWindow="-108" yWindow="-108" windowWidth="23256" windowHeight="12456" xr2:uid="{89E999AA-6E4B-4B8D-BDAC-782C14CC87BB}"/>
  </bookViews>
  <sheets>
    <sheet name="FACTURAS" sheetId="1" r:id="rId1"/>
  </sheets>
  <definedNames>
    <definedName name="_xlnm._FilterDatabase" localSheetId="0" hidden="1">FACTURAS!$A$1:$G$779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 a="1"/>
  <c r="L2" i="1" s="1"/>
  <c r="J2" i="1" a="1"/>
  <c r="J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<sst xmlns="http://schemas.openxmlformats.org/spreadsheetml/2006/main" count="3127" uniqueCount="29">
  <si>
    <t>NUMERO</t>
  </si>
  <si>
    <t>CONCEPTO</t>
  </si>
  <si>
    <t>CLIENTE</t>
  </si>
  <si>
    <t>PROVINCIA</t>
  </si>
  <si>
    <t>IMPORTE</t>
  </si>
  <si>
    <t>FECHA</t>
  </si>
  <si>
    <t>PAGADA</t>
  </si>
  <si>
    <t>DESARROLLO</t>
  </si>
  <si>
    <t>CLIENTE-0004</t>
  </si>
  <si>
    <t>MADRID</t>
  </si>
  <si>
    <t>SI</t>
  </si>
  <si>
    <t>PROYECTO</t>
  </si>
  <si>
    <t>CLIENTE-0005</t>
  </si>
  <si>
    <t>BARCELONA</t>
  </si>
  <si>
    <t>EQUIPOS</t>
  </si>
  <si>
    <t>CLIENTE-0006</t>
  </si>
  <si>
    <t>PROGRAMA</t>
  </si>
  <si>
    <t>CLIENTE-0007</t>
  </si>
  <si>
    <t>FORMACION</t>
  </si>
  <si>
    <t>CLIENTE-0003</t>
  </si>
  <si>
    <t>CONSULTORIA</t>
  </si>
  <si>
    <t>CLIENTE-0008</t>
  </si>
  <si>
    <t>ALICANTE</t>
  </si>
  <si>
    <t>CLIENTE-0009</t>
  </si>
  <si>
    <t>CLIENTE-0010</t>
  </si>
  <si>
    <t>CLIENTE-0001</t>
  </si>
  <si>
    <t>NO</t>
  </si>
  <si>
    <t>CLIENTE-0002</t>
  </si>
  <si>
    <t>CONCEPTOS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</si>
</sst>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44" fontId="0" fillId="0" borderId="0" xfId="0" applyNumberFormat="1"/>
    <xf numFmtId="14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3CCC7E-99A5-4F08-B363-491BCBC695B9}" name="T_FACTURAS" displayName="T_FACTURAS" ref="A1:G779" headerRowDxfId="8">
  <autoFilter ref="A1:G779" xr:uid="{A4B78BC7-81F2-4ED8-B277-62E71824D006}"/>
  <tableColumns count="7">
    <tableColumn id="1" xr3:uid="{1CB192D4-EA0C-43B9-BBA1-2CDE08D46707}" name="NUMERO" totalsRowFunction="count" dataDxfId="6" totalsRowDxfId="7"/>
    <tableColumn id="2" xr3:uid="{39131D54-A941-45B7-91CA-4A993FB4586A}" name="CONCEPTO"/>
    <tableColumn id="3" xr3:uid="{A5B9145C-5D95-4CD0-B85A-E52121BDC3D1}" name="CLIENTE"/>
    <tableColumn id="4" xr3:uid="{0B064180-7933-49FE-81AB-DC7A37DB359D}" name="PROVINCIA"/>
    <tableColumn id="6" xr3:uid="{D1ADAA17-1DA1-4A48-8D0D-81906A88F8DE}" name="IMPORTE" totalsRowFunction="sum" dataDxfId="4" totalsRowDxfId="5"/>
    <tableColumn id="7" xr3:uid="{7CCE4634-E2FF-48E9-990A-F847B822625F}" name="FECHA" totalsRowFunction="min" dataDxfId="2" totalsRowDxfId="3"/>
    <tableColumn id="8" xr3:uid="{D4520979-8034-41A3-B83C-501B0AE7338A}" name="PAGADA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97616-2EC5-4352-AFC9-D5472BB0B355}">
  <dimension ref="A1:R779"/>
  <sheetViews>
    <sheetView tabSelected="1" topLeftCell="C1" zoomScaleNormal="100" workbookViewId="0">
      <selection activeCell="L2" sqref="L2"/>
    </sheetView>
  </sheetViews>
  <sheetFormatPr baseColWidth="10" defaultColWidth="11.44140625" defaultRowHeight="13.2" x14ac:dyDescent="0.25"/>
  <cols>
    <col min="1" max="1" width="22.88671875" bestFit="1" customWidth="1"/>
    <col min="2" max="2" width="14.6640625" bestFit="1" customWidth="1"/>
    <col min="3" max="3" width="13.88671875" bestFit="1" customWidth="1"/>
    <col min="4" max="4" width="13.6640625" customWidth="1"/>
    <col min="5" max="5" width="19.44140625" customWidth="1"/>
    <col min="6" max="6" width="21" bestFit="1" customWidth="1"/>
    <col min="7" max="7" width="13.109375" bestFit="1" customWidth="1"/>
    <col min="8" max="8" width="3.21875" customWidth="1"/>
    <col min="10" max="10" width="13.6640625" bestFit="1" customWidth="1"/>
    <col min="14" max="14" width="13.218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t="s">
        <v>28</v>
      </c>
      <c r="L1" s="5" t="s">
        <v>0</v>
      </c>
      <c r="M1" s="6" t="s">
        <v>1</v>
      </c>
      <c r="N1" s="6" t="s">
        <v>2</v>
      </c>
      <c r="O1" s="6" t="s">
        <v>3</v>
      </c>
      <c r="P1" s="6" t="s">
        <v>4</v>
      </c>
      <c r="Q1" s="6" t="s">
        <v>5</v>
      </c>
      <c r="R1" s="7" t="s">
        <v>6</v>
      </c>
    </row>
    <row r="2" spans="1:18" x14ac:dyDescent="0.25">
      <c r="A2" s="2">
        <v>1</v>
      </c>
      <c r="B2" t="s">
        <v>7</v>
      </c>
      <c r="C2" t="s">
        <v>8</v>
      </c>
      <c r="D2" t="s">
        <v>9</v>
      </c>
      <c r="E2" s="3">
        <v>1200</v>
      </c>
      <c r="F2" s="4">
        <v>43677</v>
      </c>
      <c r="G2" s="2" t="s">
        <v>10</v>
      </c>
      <c r="J2" t="str" cm="1">
        <f t="array" ref="J2:J7">_xlfn.UNIQUE(T_FACTURAS[CONCEPTO])</f>
        <v>DESARROLLO</v>
      </c>
      <c r="L2" cm="1">
        <f t="array" ref="L2:R779">_xlfn._xlws.SORT(T_FACTURAS[],5)</f>
        <v>18</v>
      </c>
      <c r="M2" t="str">
        <v>PROYECTO</v>
      </c>
      <c r="N2" t="str">
        <v>CLIENTE-0003</v>
      </c>
      <c r="O2" t="str">
        <v>MADRID</v>
      </c>
      <c r="P2">
        <v>120</v>
      </c>
      <c r="Q2">
        <v>43648</v>
      </c>
      <c r="R2" t="str">
        <v>NO</v>
      </c>
    </row>
    <row r="3" spans="1:18" x14ac:dyDescent="0.25">
      <c r="A3" s="2">
        <v>2</v>
      </c>
      <c r="B3" t="s">
        <v>11</v>
      </c>
      <c r="C3" t="s">
        <v>12</v>
      </c>
      <c r="D3" t="s">
        <v>13</v>
      </c>
      <c r="E3" s="3">
        <v>800</v>
      </c>
      <c r="F3" s="4">
        <v>44349</v>
      </c>
      <c r="G3" s="2" t="s">
        <v>10</v>
      </c>
      <c r="J3" t="str">
        <v>PROYECTO</v>
      </c>
      <c r="L3">
        <v>22</v>
      </c>
      <c r="M3" t="str">
        <v>CONSULTORIA</v>
      </c>
      <c r="N3" t="str">
        <v>CLIENTE-0007</v>
      </c>
      <c r="O3" t="str">
        <v>BARCELONA</v>
      </c>
      <c r="P3">
        <v>120</v>
      </c>
      <c r="Q3">
        <v>43560</v>
      </c>
      <c r="R3" t="str">
        <v>SI</v>
      </c>
    </row>
    <row r="4" spans="1:18" x14ac:dyDescent="0.25">
      <c r="A4" s="2">
        <v>3</v>
      </c>
      <c r="B4" t="s">
        <v>14</v>
      </c>
      <c r="C4" t="s">
        <v>15</v>
      </c>
      <c r="D4" t="s">
        <v>13</v>
      </c>
      <c r="E4" s="3">
        <v>750</v>
      </c>
      <c r="F4" s="4">
        <v>43934</v>
      </c>
      <c r="G4" s="2" t="s">
        <v>10</v>
      </c>
      <c r="J4" t="str">
        <v>EQUIPOS</v>
      </c>
      <c r="L4">
        <v>41</v>
      </c>
      <c r="M4" t="str">
        <v>CONSULTORIA</v>
      </c>
      <c r="N4" t="str">
        <v>CLIENTE-0006</v>
      </c>
      <c r="O4" t="str">
        <v>BARCELONA</v>
      </c>
      <c r="P4">
        <v>120</v>
      </c>
      <c r="Q4">
        <v>43594</v>
      </c>
      <c r="R4" t="str">
        <v>SI</v>
      </c>
    </row>
    <row r="5" spans="1:18" x14ac:dyDescent="0.25">
      <c r="A5" s="2">
        <v>4</v>
      </c>
      <c r="B5" t="s">
        <v>16</v>
      </c>
      <c r="C5" t="s">
        <v>17</v>
      </c>
      <c r="D5" t="s">
        <v>13</v>
      </c>
      <c r="E5" s="3">
        <v>4500</v>
      </c>
      <c r="F5" s="4">
        <v>43909</v>
      </c>
      <c r="G5" s="2" t="s">
        <v>10</v>
      </c>
      <c r="J5" t="str">
        <v>PROGRAMA</v>
      </c>
      <c r="L5">
        <v>45</v>
      </c>
      <c r="M5" t="str">
        <v>PROGRAMA</v>
      </c>
      <c r="N5" t="str">
        <v>CLIENTE-0010</v>
      </c>
      <c r="O5" t="str">
        <v>MADRID</v>
      </c>
      <c r="P5">
        <v>120</v>
      </c>
      <c r="Q5">
        <v>44382</v>
      </c>
      <c r="R5" t="str">
        <v>NO</v>
      </c>
    </row>
    <row r="6" spans="1:18" x14ac:dyDescent="0.25">
      <c r="A6" s="2">
        <v>5</v>
      </c>
      <c r="B6" t="s">
        <v>18</v>
      </c>
      <c r="C6" t="s">
        <v>19</v>
      </c>
      <c r="D6" t="s">
        <v>9</v>
      </c>
      <c r="E6" s="3">
        <v>500</v>
      </c>
      <c r="F6" s="4">
        <v>43785</v>
      </c>
      <c r="G6" s="2" t="s">
        <v>10</v>
      </c>
      <c r="J6" t="str">
        <v>FORMACION</v>
      </c>
      <c r="L6">
        <v>52</v>
      </c>
      <c r="M6" t="str">
        <v>FORMACION</v>
      </c>
      <c r="N6" t="str">
        <v>CLIENTE-0005</v>
      </c>
      <c r="O6" t="str">
        <v>BARCELONA</v>
      </c>
      <c r="P6">
        <v>120</v>
      </c>
      <c r="Q6">
        <v>44437</v>
      </c>
      <c r="R6" t="str">
        <v>SI</v>
      </c>
    </row>
    <row r="7" spans="1:18" x14ac:dyDescent="0.25">
      <c r="A7" s="2">
        <v>6</v>
      </c>
      <c r="B7" t="s">
        <v>20</v>
      </c>
      <c r="C7" t="s">
        <v>8</v>
      </c>
      <c r="D7" t="s">
        <v>9</v>
      </c>
      <c r="E7" s="3">
        <v>750</v>
      </c>
      <c r="F7" s="4">
        <v>43514</v>
      </c>
      <c r="G7" s="2" t="s">
        <v>10</v>
      </c>
      <c r="J7" t="str">
        <v>CONSULTORIA</v>
      </c>
      <c r="L7">
        <v>56</v>
      </c>
      <c r="M7" t="str">
        <v>EQUIPOS</v>
      </c>
      <c r="N7" t="str">
        <v>CLIENTE-0008</v>
      </c>
      <c r="O7" t="str">
        <v>ALICANTE</v>
      </c>
      <c r="P7">
        <v>120</v>
      </c>
      <c r="Q7">
        <v>44537</v>
      </c>
      <c r="R7" t="str">
        <v>SI</v>
      </c>
    </row>
    <row r="8" spans="1:18" x14ac:dyDescent="0.25">
      <c r="A8" s="2">
        <v>7</v>
      </c>
      <c r="B8" t="s">
        <v>7</v>
      </c>
      <c r="C8" t="s">
        <v>12</v>
      </c>
      <c r="D8" t="s">
        <v>13</v>
      </c>
      <c r="E8" s="3">
        <v>950</v>
      </c>
      <c r="F8" s="4">
        <v>43544</v>
      </c>
      <c r="G8" s="2" t="s">
        <v>10</v>
      </c>
      <c r="L8">
        <v>87</v>
      </c>
      <c r="M8" t="str">
        <v>CONSULTORIA</v>
      </c>
      <c r="N8" t="str">
        <v>CLIENTE-0007</v>
      </c>
      <c r="O8" t="str">
        <v>BARCELONA</v>
      </c>
      <c r="P8">
        <v>120</v>
      </c>
      <c r="Q8">
        <v>44113</v>
      </c>
      <c r="R8" t="str">
        <v>NO</v>
      </c>
    </row>
    <row r="9" spans="1:18" x14ac:dyDescent="0.25">
      <c r="A9" s="2">
        <v>8</v>
      </c>
      <c r="B9" t="s">
        <v>11</v>
      </c>
      <c r="C9" t="s">
        <v>12</v>
      </c>
      <c r="D9" t="s">
        <v>13</v>
      </c>
      <c r="E9" s="3">
        <v>680</v>
      </c>
      <c r="F9" s="4">
        <v>43669</v>
      </c>
      <c r="G9" s="2" t="s">
        <v>10</v>
      </c>
      <c r="L9">
        <v>91</v>
      </c>
      <c r="M9" t="str">
        <v>EQUIPOS</v>
      </c>
      <c r="N9" t="str">
        <v>CLIENTE-0004</v>
      </c>
      <c r="O9" t="str">
        <v>MADRID</v>
      </c>
      <c r="P9">
        <v>120</v>
      </c>
      <c r="Q9">
        <v>43720</v>
      </c>
      <c r="R9" t="str">
        <v>SI</v>
      </c>
    </row>
    <row r="10" spans="1:18" x14ac:dyDescent="0.25">
      <c r="A10" s="2">
        <v>9</v>
      </c>
      <c r="B10" t="s">
        <v>14</v>
      </c>
      <c r="C10" t="s">
        <v>15</v>
      </c>
      <c r="D10" t="s">
        <v>13</v>
      </c>
      <c r="E10" s="3">
        <v>950</v>
      </c>
      <c r="F10" s="4">
        <v>44554</v>
      </c>
      <c r="G10" s="2" t="s">
        <v>10</v>
      </c>
      <c r="L10">
        <v>110</v>
      </c>
      <c r="M10" t="str">
        <v>CONSULTORIA</v>
      </c>
      <c r="N10" t="str">
        <v>CLIENTE-0005</v>
      </c>
      <c r="O10" t="str">
        <v>BARCELONA</v>
      </c>
      <c r="P10">
        <v>120</v>
      </c>
      <c r="Q10">
        <v>44081</v>
      </c>
      <c r="R10" t="str">
        <v>SI</v>
      </c>
    </row>
    <row r="11" spans="1:18" x14ac:dyDescent="0.25">
      <c r="A11" s="2">
        <v>10</v>
      </c>
      <c r="B11" t="s">
        <v>16</v>
      </c>
      <c r="C11" t="s">
        <v>17</v>
      </c>
      <c r="D11" t="s">
        <v>13</v>
      </c>
      <c r="E11" s="3">
        <v>1500</v>
      </c>
      <c r="F11" s="4">
        <v>43584</v>
      </c>
      <c r="G11" s="2" t="s">
        <v>10</v>
      </c>
      <c r="L11">
        <v>114</v>
      </c>
      <c r="M11" t="str">
        <v>PROGRAMA</v>
      </c>
      <c r="N11" t="str">
        <v>CLIENTE-0009</v>
      </c>
      <c r="O11" t="str">
        <v>ALICANTE</v>
      </c>
      <c r="P11">
        <v>120</v>
      </c>
      <c r="Q11">
        <v>43752</v>
      </c>
      <c r="R11" t="str">
        <v>NO</v>
      </c>
    </row>
    <row r="12" spans="1:18" x14ac:dyDescent="0.25">
      <c r="A12" s="2">
        <v>11</v>
      </c>
      <c r="B12" t="s">
        <v>18</v>
      </c>
      <c r="C12" t="s">
        <v>21</v>
      </c>
      <c r="D12" t="s">
        <v>22</v>
      </c>
      <c r="E12" s="3">
        <v>5000</v>
      </c>
      <c r="F12" s="4">
        <v>44050</v>
      </c>
      <c r="G12" s="2" t="s">
        <v>10</v>
      </c>
      <c r="L12">
        <v>121</v>
      </c>
      <c r="M12" t="str">
        <v>PROYECTO</v>
      </c>
      <c r="N12" t="str">
        <v>CLIENTE-0008</v>
      </c>
      <c r="O12" t="str">
        <v>ALICANTE</v>
      </c>
      <c r="P12">
        <v>120</v>
      </c>
      <c r="Q12">
        <v>44196</v>
      </c>
      <c r="R12" t="str">
        <v>SI</v>
      </c>
    </row>
    <row r="13" spans="1:18" x14ac:dyDescent="0.25">
      <c r="A13" s="2">
        <v>12</v>
      </c>
      <c r="B13" t="s">
        <v>20</v>
      </c>
      <c r="C13" t="s">
        <v>23</v>
      </c>
      <c r="D13" t="s">
        <v>22</v>
      </c>
      <c r="E13" s="3">
        <v>6500</v>
      </c>
      <c r="F13" s="4">
        <v>43539</v>
      </c>
      <c r="G13" s="2" t="s">
        <v>10</v>
      </c>
      <c r="L13">
        <v>125</v>
      </c>
      <c r="M13" t="str">
        <v>PROYECTO</v>
      </c>
      <c r="N13" t="str">
        <v>CLIENTE-0010</v>
      </c>
      <c r="O13" t="str">
        <v>MADRID</v>
      </c>
      <c r="P13">
        <v>120</v>
      </c>
      <c r="Q13">
        <v>43946</v>
      </c>
      <c r="R13" t="str">
        <v>SI</v>
      </c>
    </row>
    <row r="14" spans="1:18" x14ac:dyDescent="0.25">
      <c r="A14" s="2">
        <v>13</v>
      </c>
      <c r="B14" t="s">
        <v>7</v>
      </c>
      <c r="C14" t="s">
        <v>24</v>
      </c>
      <c r="D14" t="s">
        <v>9</v>
      </c>
      <c r="E14" s="3">
        <v>8500</v>
      </c>
      <c r="F14" s="4">
        <v>44356</v>
      </c>
      <c r="G14" s="2" t="s">
        <v>10</v>
      </c>
      <c r="L14">
        <v>156</v>
      </c>
      <c r="M14" t="str">
        <v>EQUIPOS</v>
      </c>
      <c r="N14" t="str">
        <v>CLIENTE-0006</v>
      </c>
      <c r="O14" t="str">
        <v>BARCELONA</v>
      </c>
      <c r="P14">
        <v>120</v>
      </c>
      <c r="Q14">
        <v>44443</v>
      </c>
      <c r="R14" t="str">
        <v>NO</v>
      </c>
    </row>
    <row r="15" spans="1:18" x14ac:dyDescent="0.25">
      <c r="A15" s="2">
        <v>14</v>
      </c>
      <c r="B15" t="s">
        <v>11</v>
      </c>
      <c r="C15" t="s">
        <v>25</v>
      </c>
      <c r="D15" t="s">
        <v>9</v>
      </c>
      <c r="E15" s="3">
        <v>1200</v>
      </c>
      <c r="F15" s="4">
        <v>44257</v>
      </c>
      <c r="G15" s="2" t="s">
        <v>10</v>
      </c>
      <c r="L15">
        <v>160</v>
      </c>
      <c r="M15" t="str">
        <v>EQUIPOS</v>
      </c>
      <c r="N15" t="str">
        <v>CLIENTE-0010</v>
      </c>
      <c r="O15" t="str">
        <v>MADRID</v>
      </c>
      <c r="P15">
        <v>120</v>
      </c>
      <c r="Q15">
        <v>43982</v>
      </c>
      <c r="R15" t="str">
        <v>SI</v>
      </c>
    </row>
    <row r="16" spans="1:18" x14ac:dyDescent="0.25">
      <c r="A16" s="2">
        <v>15</v>
      </c>
      <c r="B16" t="s">
        <v>14</v>
      </c>
      <c r="C16" t="s">
        <v>24</v>
      </c>
      <c r="D16" t="s">
        <v>9</v>
      </c>
      <c r="E16" s="3">
        <v>300</v>
      </c>
      <c r="F16" s="4">
        <v>43517</v>
      </c>
      <c r="G16" s="2" t="s">
        <v>26</v>
      </c>
      <c r="L16">
        <v>179</v>
      </c>
      <c r="M16" t="str">
        <v>EQUIPOS</v>
      </c>
      <c r="N16" t="str">
        <v>CLIENTE-0009</v>
      </c>
      <c r="O16" t="str">
        <v>ALICANTE</v>
      </c>
      <c r="P16">
        <v>120</v>
      </c>
      <c r="Q16">
        <v>44056</v>
      </c>
      <c r="R16" t="str">
        <v>SI</v>
      </c>
    </row>
    <row r="17" spans="1:18" x14ac:dyDescent="0.25">
      <c r="A17" s="2">
        <v>16</v>
      </c>
      <c r="B17" t="s">
        <v>20</v>
      </c>
      <c r="C17" t="s">
        <v>25</v>
      </c>
      <c r="D17" t="s">
        <v>9</v>
      </c>
      <c r="E17" s="3">
        <v>200</v>
      </c>
      <c r="F17" s="4">
        <v>43873</v>
      </c>
      <c r="G17" s="2" t="s">
        <v>26</v>
      </c>
      <c r="L17">
        <v>183</v>
      </c>
      <c r="M17" t="str">
        <v>DESARROLLO</v>
      </c>
      <c r="N17" t="str">
        <v>CLIENTE-0005</v>
      </c>
      <c r="O17" t="str">
        <v>BARCELONA</v>
      </c>
      <c r="P17">
        <v>120</v>
      </c>
      <c r="Q17">
        <v>44139</v>
      </c>
      <c r="R17" t="str">
        <v>NO</v>
      </c>
    </row>
    <row r="18" spans="1:18" x14ac:dyDescent="0.25">
      <c r="A18" s="2">
        <v>17</v>
      </c>
      <c r="B18" t="s">
        <v>7</v>
      </c>
      <c r="C18" t="s">
        <v>27</v>
      </c>
      <c r="D18" t="s">
        <v>22</v>
      </c>
      <c r="E18" s="3">
        <v>150</v>
      </c>
      <c r="F18" s="4">
        <v>43614</v>
      </c>
      <c r="G18" s="2" t="s">
        <v>26</v>
      </c>
      <c r="L18">
        <v>190</v>
      </c>
      <c r="M18" t="str">
        <v>PROYECTO</v>
      </c>
      <c r="N18" t="str">
        <v>CLIENTE-0010</v>
      </c>
      <c r="O18" t="str">
        <v>MADRID</v>
      </c>
      <c r="P18">
        <v>120</v>
      </c>
      <c r="Q18">
        <v>43715</v>
      </c>
      <c r="R18" t="str">
        <v>SI</v>
      </c>
    </row>
    <row r="19" spans="1:18" x14ac:dyDescent="0.25">
      <c r="A19" s="2">
        <v>18</v>
      </c>
      <c r="B19" t="s">
        <v>11</v>
      </c>
      <c r="C19" t="s">
        <v>19</v>
      </c>
      <c r="D19" t="s">
        <v>9</v>
      </c>
      <c r="E19" s="3">
        <v>120</v>
      </c>
      <c r="F19" s="4">
        <v>43648</v>
      </c>
      <c r="G19" s="2" t="s">
        <v>26</v>
      </c>
      <c r="L19">
        <v>194</v>
      </c>
      <c r="M19" t="str">
        <v>PROYECTO</v>
      </c>
      <c r="N19" t="str">
        <v>CLIENTE-0004</v>
      </c>
      <c r="O19" t="str">
        <v>MADRID</v>
      </c>
      <c r="P19">
        <v>120</v>
      </c>
      <c r="Q19">
        <v>44478</v>
      </c>
      <c r="R19" t="str">
        <v>SI</v>
      </c>
    </row>
    <row r="20" spans="1:18" x14ac:dyDescent="0.25">
      <c r="A20" s="2">
        <v>19</v>
      </c>
      <c r="B20" t="s">
        <v>14</v>
      </c>
      <c r="C20" t="s">
        <v>8</v>
      </c>
      <c r="D20" t="s">
        <v>9</v>
      </c>
      <c r="E20" s="3">
        <v>300</v>
      </c>
      <c r="F20" s="4">
        <v>43800</v>
      </c>
      <c r="G20" s="2" t="s">
        <v>26</v>
      </c>
      <c r="L20">
        <v>225</v>
      </c>
      <c r="M20" t="str">
        <v>PROYECTO</v>
      </c>
      <c r="N20" t="str">
        <v>CLIENTE-0003</v>
      </c>
      <c r="O20" t="str">
        <v>MADRID</v>
      </c>
      <c r="P20">
        <v>120</v>
      </c>
      <c r="Q20">
        <v>44422</v>
      </c>
      <c r="R20" t="str">
        <v>NO</v>
      </c>
    </row>
    <row r="21" spans="1:18" x14ac:dyDescent="0.25">
      <c r="A21" s="2">
        <v>20</v>
      </c>
      <c r="B21" t="s">
        <v>16</v>
      </c>
      <c r="C21" t="s">
        <v>12</v>
      </c>
      <c r="D21" t="s">
        <v>13</v>
      </c>
      <c r="E21" s="3">
        <v>350</v>
      </c>
      <c r="F21" s="4">
        <v>44450</v>
      </c>
      <c r="G21" s="2" t="s">
        <v>26</v>
      </c>
      <c r="L21">
        <v>229</v>
      </c>
      <c r="M21" t="str">
        <v>CONSULTORIA</v>
      </c>
      <c r="N21" t="str">
        <v>CLIENTE-0006</v>
      </c>
      <c r="O21" t="str">
        <v>BARCELONA</v>
      </c>
      <c r="P21">
        <v>120</v>
      </c>
      <c r="Q21">
        <v>44410</v>
      </c>
      <c r="R21" t="str">
        <v>SI</v>
      </c>
    </row>
    <row r="22" spans="1:18" x14ac:dyDescent="0.25">
      <c r="A22" s="2">
        <v>21</v>
      </c>
      <c r="B22" t="s">
        <v>18</v>
      </c>
      <c r="C22" t="s">
        <v>15</v>
      </c>
      <c r="D22" t="s">
        <v>13</v>
      </c>
      <c r="E22" s="3">
        <v>300</v>
      </c>
      <c r="F22" s="4">
        <v>43740</v>
      </c>
      <c r="G22" s="2" t="s">
        <v>26</v>
      </c>
      <c r="L22">
        <v>248</v>
      </c>
      <c r="M22" t="str">
        <v>EQUIPOS</v>
      </c>
      <c r="N22" t="str">
        <v>CLIENTE-0005</v>
      </c>
      <c r="O22" t="str">
        <v>BARCELONA</v>
      </c>
      <c r="P22">
        <v>120</v>
      </c>
      <c r="Q22">
        <v>44152</v>
      </c>
      <c r="R22" t="str">
        <v>SI</v>
      </c>
    </row>
    <row r="23" spans="1:18" x14ac:dyDescent="0.25">
      <c r="A23" s="2">
        <v>22</v>
      </c>
      <c r="B23" t="s">
        <v>20</v>
      </c>
      <c r="C23" t="s">
        <v>17</v>
      </c>
      <c r="D23" t="s">
        <v>13</v>
      </c>
      <c r="E23" s="3">
        <v>120</v>
      </c>
      <c r="F23" s="4">
        <v>43560</v>
      </c>
      <c r="G23" s="2" t="s">
        <v>10</v>
      </c>
      <c r="L23">
        <v>252</v>
      </c>
      <c r="M23" t="str">
        <v>DESARROLLO</v>
      </c>
      <c r="N23" t="str">
        <v>CLIENTE-0009</v>
      </c>
      <c r="O23" t="str">
        <v>ALICANTE</v>
      </c>
      <c r="P23">
        <v>120</v>
      </c>
      <c r="Q23">
        <v>44143</v>
      </c>
      <c r="R23" t="str">
        <v>NO</v>
      </c>
    </row>
    <row r="24" spans="1:18" x14ac:dyDescent="0.25">
      <c r="A24" s="2">
        <v>23</v>
      </c>
      <c r="B24" t="s">
        <v>7</v>
      </c>
      <c r="C24" t="s">
        <v>21</v>
      </c>
      <c r="D24" t="s">
        <v>22</v>
      </c>
      <c r="E24" s="3">
        <v>150</v>
      </c>
      <c r="F24" s="4">
        <v>44502</v>
      </c>
      <c r="G24" s="2" t="s">
        <v>10</v>
      </c>
      <c r="L24">
        <v>259</v>
      </c>
      <c r="M24" t="str">
        <v>PROYECTO</v>
      </c>
      <c r="N24" t="str">
        <v>CLIENTE-0004</v>
      </c>
      <c r="O24" t="str">
        <v>MADRID</v>
      </c>
      <c r="P24">
        <v>120</v>
      </c>
      <c r="Q24">
        <v>44180</v>
      </c>
      <c r="R24" t="str">
        <v>SI</v>
      </c>
    </row>
    <row r="25" spans="1:18" x14ac:dyDescent="0.25">
      <c r="A25" s="2">
        <v>24</v>
      </c>
      <c r="B25" t="s">
        <v>11</v>
      </c>
      <c r="C25" t="s">
        <v>23</v>
      </c>
      <c r="D25" t="s">
        <v>22</v>
      </c>
      <c r="E25" s="3">
        <v>1200</v>
      </c>
      <c r="F25" s="4">
        <v>44149</v>
      </c>
      <c r="G25" s="2" t="s">
        <v>10</v>
      </c>
      <c r="L25">
        <v>263</v>
      </c>
      <c r="M25" t="str">
        <v>CONSULTORIA</v>
      </c>
      <c r="N25" t="str">
        <v>CLIENTE-0008</v>
      </c>
      <c r="O25" t="str">
        <v>ALICANTE</v>
      </c>
      <c r="P25">
        <v>120</v>
      </c>
      <c r="Q25">
        <v>43886</v>
      </c>
      <c r="R25" t="str">
        <v>SI</v>
      </c>
    </row>
    <row r="26" spans="1:18" x14ac:dyDescent="0.25">
      <c r="A26" s="2">
        <v>25</v>
      </c>
      <c r="B26" t="s">
        <v>14</v>
      </c>
      <c r="C26" t="s">
        <v>24</v>
      </c>
      <c r="D26" t="s">
        <v>9</v>
      </c>
      <c r="E26" s="3">
        <v>800</v>
      </c>
      <c r="F26" s="4">
        <v>43552</v>
      </c>
      <c r="G26" s="2" t="s">
        <v>10</v>
      </c>
      <c r="L26">
        <v>291</v>
      </c>
      <c r="M26" t="str">
        <v>PROYECTO</v>
      </c>
      <c r="N26" t="str">
        <v>CLIENTE-0002</v>
      </c>
      <c r="O26" t="str">
        <v>ALICANTE</v>
      </c>
      <c r="P26">
        <v>120</v>
      </c>
      <c r="Q26">
        <v>43650</v>
      </c>
      <c r="R26" t="str">
        <v>SI</v>
      </c>
    </row>
    <row r="27" spans="1:18" x14ac:dyDescent="0.25">
      <c r="A27" s="2">
        <v>26</v>
      </c>
      <c r="B27" t="s">
        <v>16</v>
      </c>
      <c r="C27" t="s">
        <v>8</v>
      </c>
      <c r="D27" t="s">
        <v>9</v>
      </c>
      <c r="E27" s="3">
        <v>750</v>
      </c>
      <c r="F27" s="4">
        <v>43931</v>
      </c>
      <c r="G27" s="2" t="s">
        <v>10</v>
      </c>
      <c r="L27">
        <v>295</v>
      </c>
      <c r="M27" t="str">
        <v>CONSULTORIA</v>
      </c>
      <c r="N27" t="str">
        <v>CLIENTE-0006</v>
      </c>
      <c r="O27" t="str">
        <v>BARCELONA</v>
      </c>
      <c r="P27">
        <v>120</v>
      </c>
      <c r="Q27">
        <v>44135</v>
      </c>
      <c r="R27" t="str">
        <v>SI</v>
      </c>
    </row>
    <row r="28" spans="1:18" x14ac:dyDescent="0.25">
      <c r="A28" s="2">
        <v>27</v>
      </c>
      <c r="B28" t="s">
        <v>11</v>
      </c>
      <c r="C28" t="s">
        <v>12</v>
      </c>
      <c r="D28" t="s">
        <v>13</v>
      </c>
      <c r="E28" s="3">
        <v>4500</v>
      </c>
      <c r="F28" s="4">
        <v>44350</v>
      </c>
      <c r="G28" s="2" t="s">
        <v>10</v>
      </c>
      <c r="L28">
        <v>302</v>
      </c>
      <c r="M28" t="str">
        <v>EQUIPOS</v>
      </c>
      <c r="N28" t="str">
        <v>CLIENTE-0005</v>
      </c>
      <c r="O28" t="str">
        <v>BARCELONA</v>
      </c>
      <c r="P28">
        <v>120</v>
      </c>
      <c r="Q28">
        <v>43690</v>
      </c>
      <c r="R28" t="str">
        <v>SI</v>
      </c>
    </row>
    <row r="29" spans="1:18" x14ac:dyDescent="0.25">
      <c r="A29" s="2">
        <v>28</v>
      </c>
      <c r="B29" t="s">
        <v>14</v>
      </c>
      <c r="C29" t="s">
        <v>12</v>
      </c>
      <c r="D29" t="s">
        <v>13</v>
      </c>
      <c r="E29" s="3">
        <v>500</v>
      </c>
      <c r="F29" s="4">
        <v>44322</v>
      </c>
      <c r="G29" s="2" t="s">
        <v>10</v>
      </c>
      <c r="L29">
        <v>306</v>
      </c>
      <c r="M29" t="str">
        <v>DESARROLLO</v>
      </c>
      <c r="N29" t="str">
        <v>CLIENTE-0009</v>
      </c>
      <c r="O29" t="str">
        <v>ALICANTE</v>
      </c>
      <c r="P29">
        <v>120</v>
      </c>
      <c r="Q29">
        <v>43639</v>
      </c>
      <c r="R29" t="str">
        <v>NO</v>
      </c>
    </row>
    <row r="30" spans="1:18" x14ac:dyDescent="0.25">
      <c r="A30" s="2">
        <v>29</v>
      </c>
      <c r="B30" t="s">
        <v>16</v>
      </c>
      <c r="C30" t="s">
        <v>15</v>
      </c>
      <c r="D30" t="s">
        <v>13</v>
      </c>
      <c r="E30" s="3">
        <v>750</v>
      </c>
      <c r="F30" s="4">
        <v>43912</v>
      </c>
      <c r="G30" s="2" t="s">
        <v>10</v>
      </c>
      <c r="L30">
        <v>337</v>
      </c>
      <c r="M30" t="str">
        <v>PROGRAMA</v>
      </c>
      <c r="N30" t="str">
        <v>CLIENTE-0008</v>
      </c>
      <c r="O30" t="str">
        <v>ALICANTE</v>
      </c>
      <c r="P30">
        <v>120</v>
      </c>
      <c r="Q30">
        <v>43586</v>
      </c>
      <c r="R30" t="str">
        <v>SI</v>
      </c>
    </row>
    <row r="31" spans="1:18" x14ac:dyDescent="0.25">
      <c r="A31" s="2">
        <v>30</v>
      </c>
      <c r="B31" t="s">
        <v>18</v>
      </c>
      <c r="C31" t="s">
        <v>17</v>
      </c>
      <c r="D31" t="s">
        <v>13</v>
      </c>
      <c r="E31" s="3">
        <v>950</v>
      </c>
      <c r="F31" s="4">
        <v>44381</v>
      </c>
      <c r="G31" s="2" t="s">
        <v>10</v>
      </c>
      <c r="L31">
        <v>341</v>
      </c>
      <c r="M31" t="str">
        <v>PROYECTO</v>
      </c>
      <c r="N31" t="str">
        <v>CLIENTE-0005</v>
      </c>
      <c r="O31" t="str">
        <v>BARCELONA</v>
      </c>
      <c r="P31">
        <v>120</v>
      </c>
      <c r="Q31">
        <v>43836</v>
      </c>
      <c r="R31" t="str">
        <v>SI</v>
      </c>
    </row>
    <row r="32" spans="1:18" x14ac:dyDescent="0.25">
      <c r="A32" s="2">
        <v>31</v>
      </c>
      <c r="B32" t="s">
        <v>20</v>
      </c>
      <c r="C32" t="s">
        <v>21</v>
      </c>
      <c r="D32" t="s">
        <v>22</v>
      </c>
      <c r="E32" s="3">
        <v>680</v>
      </c>
      <c r="F32" s="4">
        <v>44328</v>
      </c>
      <c r="G32" s="2" t="s">
        <v>10</v>
      </c>
      <c r="L32">
        <v>360</v>
      </c>
      <c r="M32" t="str">
        <v>CONSULTORIA</v>
      </c>
      <c r="N32" t="str">
        <v>CLIENTE-0006</v>
      </c>
      <c r="O32" t="str">
        <v>BARCELONA</v>
      </c>
      <c r="P32">
        <v>120</v>
      </c>
      <c r="Q32">
        <v>43867</v>
      </c>
      <c r="R32" t="str">
        <v>SI</v>
      </c>
    </row>
    <row r="33" spans="1:18" x14ac:dyDescent="0.25">
      <c r="A33" s="2">
        <v>32</v>
      </c>
      <c r="B33" t="s">
        <v>7</v>
      </c>
      <c r="C33" t="s">
        <v>23</v>
      </c>
      <c r="D33" t="s">
        <v>22</v>
      </c>
      <c r="E33" s="3">
        <v>950</v>
      </c>
      <c r="F33" s="4">
        <v>43606</v>
      </c>
      <c r="G33" s="2" t="s">
        <v>10</v>
      </c>
      <c r="L33">
        <v>364</v>
      </c>
      <c r="M33" t="str">
        <v>PROGRAMA</v>
      </c>
      <c r="N33" t="str">
        <v>CLIENTE-0010</v>
      </c>
      <c r="O33" t="str">
        <v>MADRID</v>
      </c>
      <c r="P33">
        <v>120</v>
      </c>
      <c r="Q33">
        <v>44097</v>
      </c>
      <c r="R33" t="str">
        <v>NO</v>
      </c>
    </row>
    <row r="34" spans="1:18" x14ac:dyDescent="0.25">
      <c r="A34" s="2">
        <v>33</v>
      </c>
      <c r="B34" t="s">
        <v>11</v>
      </c>
      <c r="C34" t="s">
        <v>24</v>
      </c>
      <c r="D34" t="s">
        <v>9</v>
      </c>
      <c r="E34" s="3">
        <v>1500</v>
      </c>
      <c r="F34" s="4">
        <v>43753</v>
      </c>
      <c r="G34" s="2" t="s">
        <v>10</v>
      </c>
      <c r="L34">
        <v>371</v>
      </c>
      <c r="M34" t="str">
        <v>FORMACION</v>
      </c>
      <c r="N34" t="str">
        <v>CLIENTE-0009</v>
      </c>
      <c r="O34" t="str">
        <v>ALICANTE</v>
      </c>
      <c r="P34">
        <v>120</v>
      </c>
      <c r="Q34">
        <v>44292</v>
      </c>
      <c r="R34" t="str">
        <v>SI</v>
      </c>
    </row>
    <row r="35" spans="1:18" x14ac:dyDescent="0.25">
      <c r="A35" s="2">
        <v>34</v>
      </c>
      <c r="B35" t="s">
        <v>14</v>
      </c>
      <c r="C35" t="s">
        <v>25</v>
      </c>
      <c r="D35" t="s">
        <v>9</v>
      </c>
      <c r="E35" s="3">
        <v>5000</v>
      </c>
      <c r="F35" s="4">
        <v>44466</v>
      </c>
      <c r="G35" s="2" t="s">
        <v>10</v>
      </c>
      <c r="L35">
        <v>379</v>
      </c>
      <c r="M35" t="str">
        <v>DESARROLLO</v>
      </c>
      <c r="N35" t="str">
        <v>CLIENTE-0005</v>
      </c>
      <c r="O35" t="str">
        <v>BARCELONA</v>
      </c>
      <c r="P35">
        <v>120</v>
      </c>
      <c r="Q35">
        <v>44265</v>
      </c>
      <c r="R35" t="str">
        <v>NO</v>
      </c>
    </row>
    <row r="36" spans="1:18" x14ac:dyDescent="0.25">
      <c r="A36" s="2">
        <v>35</v>
      </c>
      <c r="B36" t="s">
        <v>20</v>
      </c>
      <c r="C36" t="s">
        <v>24</v>
      </c>
      <c r="D36" t="s">
        <v>9</v>
      </c>
      <c r="E36" s="3">
        <v>6500</v>
      </c>
      <c r="F36" s="4">
        <v>43765</v>
      </c>
      <c r="G36" s="2" t="s">
        <v>10</v>
      </c>
      <c r="L36">
        <v>383</v>
      </c>
      <c r="M36" t="str">
        <v>FORMACION</v>
      </c>
      <c r="N36" t="str">
        <v>CLIENTE-0009</v>
      </c>
      <c r="O36" t="str">
        <v>ALICANTE</v>
      </c>
      <c r="P36">
        <v>120</v>
      </c>
      <c r="Q36">
        <v>44429</v>
      </c>
      <c r="R36" t="str">
        <v>NO</v>
      </c>
    </row>
    <row r="37" spans="1:18" x14ac:dyDescent="0.25">
      <c r="A37" s="2">
        <v>36</v>
      </c>
      <c r="B37" t="s">
        <v>7</v>
      </c>
      <c r="C37" t="s">
        <v>25</v>
      </c>
      <c r="D37" t="s">
        <v>9</v>
      </c>
      <c r="E37" s="3">
        <v>8500</v>
      </c>
      <c r="F37" s="4">
        <v>43883</v>
      </c>
      <c r="G37" s="2" t="s">
        <v>10</v>
      </c>
      <c r="L37">
        <v>402</v>
      </c>
      <c r="M37" t="str">
        <v>PROYECTO</v>
      </c>
      <c r="N37" t="str">
        <v>CLIENTE-0002</v>
      </c>
      <c r="O37" t="str">
        <v>ALICANTE</v>
      </c>
      <c r="P37">
        <v>120</v>
      </c>
      <c r="Q37">
        <v>43520</v>
      </c>
      <c r="R37" t="str">
        <v>SI</v>
      </c>
    </row>
    <row r="38" spans="1:18" x14ac:dyDescent="0.25">
      <c r="A38" s="2">
        <v>37</v>
      </c>
      <c r="B38" t="s">
        <v>11</v>
      </c>
      <c r="C38" t="s">
        <v>27</v>
      </c>
      <c r="D38" t="s">
        <v>22</v>
      </c>
      <c r="E38" s="3">
        <v>1200</v>
      </c>
      <c r="F38" s="4">
        <v>44489</v>
      </c>
      <c r="G38" s="2" t="s">
        <v>10</v>
      </c>
      <c r="L38">
        <v>406</v>
      </c>
      <c r="M38" t="str">
        <v>CONSULTORIA</v>
      </c>
      <c r="N38" t="str">
        <v>CLIENTE-0006</v>
      </c>
      <c r="O38" t="str">
        <v>BARCELONA</v>
      </c>
      <c r="P38">
        <v>120</v>
      </c>
      <c r="Q38">
        <v>43868</v>
      </c>
      <c r="R38" t="str">
        <v>SI</v>
      </c>
    </row>
    <row r="39" spans="1:18" x14ac:dyDescent="0.25">
      <c r="A39" s="2">
        <v>38</v>
      </c>
      <c r="B39" t="s">
        <v>14</v>
      </c>
      <c r="C39" t="s">
        <v>19</v>
      </c>
      <c r="D39" t="s">
        <v>9</v>
      </c>
      <c r="E39" s="3">
        <v>300</v>
      </c>
      <c r="F39" s="4">
        <v>44363</v>
      </c>
      <c r="G39" s="2" t="s">
        <v>10</v>
      </c>
      <c r="L39">
        <v>413</v>
      </c>
      <c r="M39" t="str">
        <v>DESARROLLO</v>
      </c>
      <c r="N39" t="str">
        <v>CLIENTE-0005</v>
      </c>
      <c r="O39" t="str">
        <v>BARCELONA</v>
      </c>
      <c r="P39">
        <v>120</v>
      </c>
      <c r="Q39">
        <v>44434</v>
      </c>
      <c r="R39" t="str">
        <v>NO</v>
      </c>
    </row>
    <row r="40" spans="1:18" x14ac:dyDescent="0.25">
      <c r="A40" s="2">
        <v>39</v>
      </c>
      <c r="B40" t="s">
        <v>16</v>
      </c>
      <c r="C40" t="s">
        <v>8</v>
      </c>
      <c r="D40" t="s">
        <v>9</v>
      </c>
      <c r="E40" s="3">
        <v>200</v>
      </c>
      <c r="F40" s="4">
        <v>44013</v>
      </c>
      <c r="G40" s="2" t="s">
        <v>10</v>
      </c>
      <c r="L40">
        <v>417</v>
      </c>
      <c r="M40" t="str">
        <v>PROGRAMA</v>
      </c>
      <c r="N40" t="str">
        <v>CLIENTE-0009</v>
      </c>
      <c r="O40" t="str">
        <v>ALICANTE</v>
      </c>
      <c r="P40">
        <v>120</v>
      </c>
      <c r="Q40">
        <v>43522</v>
      </c>
      <c r="R40" t="str">
        <v>SI</v>
      </c>
    </row>
    <row r="41" spans="1:18" x14ac:dyDescent="0.25">
      <c r="A41" s="2">
        <v>40</v>
      </c>
      <c r="B41" t="s">
        <v>18</v>
      </c>
      <c r="C41" t="s">
        <v>12</v>
      </c>
      <c r="D41" t="s">
        <v>13</v>
      </c>
      <c r="E41" s="3">
        <v>150</v>
      </c>
      <c r="F41" s="4">
        <v>43783</v>
      </c>
      <c r="G41" s="2" t="s">
        <v>10</v>
      </c>
      <c r="L41">
        <v>448</v>
      </c>
      <c r="M41" t="str">
        <v>CONSULTORIA</v>
      </c>
      <c r="N41" t="str">
        <v>CLIENTE-0003</v>
      </c>
      <c r="O41" t="str">
        <v>MADRID</v>
      </c>
      <c r="P41">
        <v>120</v>
      </c>
      <c r="Q41">
        <v>44378</v>
      </c>
      <c r="R41" t="str">
        <v>SI</v>
      </c>
    </row>
    <row r="42" spans="1:18" x14ac:dyDescent="0.25">
      <c r="A42" s="2">
        <v>41</v>
      </c>
      <c r="B42" t="s">
        <v>20</v>
      </c>
      <c r="C42" t="s">
        <v>15</v>
      </c>
      <c r="D42" t="s">
        <v>13</v>
      </c>
      <c r="E42" s="3">
        <v>120</v>
      </c>
      <c r="F42" s="4">
        <v>43594</v>
      </c>
      <c r="G42" s="2" t="s">
        <v>10</v>
      </c>
      <c r="L42">
        <v>452</v>
      </c>
      <c r="M42" t="str">
        <v>PROGRAMA</v>
      </c>
      <c r="N42" t="str">
        <v>CLIENTE-0007</v>
      </c>
      <c r="O42" t="str">
        <v>BARCELONA</v>
      </c>
      <c r="P42">
        <v>120</v>
      </c>
      <c r="Q42">
        <v>43965</v>
      </c>
      <c r="R42" t="str">
        <v>NO</v>
      </c>
    </row>
    <row r="43" spans="1:18" x14ac:dyDescent="0.25">
      <c r="A43" s="2">
        <v>42</v>
      </c>
      <c r="B43" t="s">
        <v>7</v>
      </c>
      <c r="C43" t="s">
        <v>17</v>
      </c>
      <c r="D43" t="s">
        <v>13</v>
      </c>
      <c r="E43" s="3">
        <v>300</v>
      </c>
      <c r="F43" s="4">
        <v>44373</v>
      </c>
      <c r="G43" s="2" t="s">
        <v>10</v>
      </c>
      <c r="L43">
        <v>471</v>
      </c>
      <c r="M43" t="str">
        <v>FORMACION</v>
      </c>
      <c r="N43" t="str">
        <v>CLIENTE-0006</v>
      </c>
      <c r="O43" t="str">
        <v>BARCELONA</v>
      </c>
      <c r="P43">
        <v>120</v>
      </c>
      <c r="Q43">
        <v>43572</v>
      </c>
      <c r="R43" t="str">
        <v>SI</v>
      </c>
    </row>
    <row r="44" spans="1:18" x14ac:dyDescent="0.25">
      <c r="A44" s="2">
        <v>43</v>
      </c>
      <c r="B44" t="s">
        <v>11</v>
      </c>
      <c r="C44" t="s">
        <v>21</v>
      </c>
      <c r="D44" t="s">
        <v>22</v>
      </c>
      <c r="E44" s="3">
        <v>350</v>
      </c>
      <c r="F44" s="4">
        <v>43519</v>
      </c>
      <c r="G44" s="2" t="s">
        <v>26</v>
      </c>
      <c r="L44">
        <v>475</v>
      </c>
      <c r="M44" t="str">
        <v>EQUIPOS</v>
      </c>
      <c r="N44" t="str">
        <v>CLIENTE-0010</v>
      </c>
      <c r="O44" t="str">
        <v>MADRID</v>
      </c>
      <c r="P44">
        <v>120</v>
      </c>
      <c r="Q44">
        <v>43612</v>
      </c>
      <c r="R44" t="str">
        <v>SI</v>
      </c>
    </row>
    <row r="45" spans="1:18" x14ac:dyDescent="0.25">
      <c r="A45" s="2">
        <v>44</v>
      </c>
      <c r="B45" t="s">
        <v>14</v>
      </c>
      <c r="C45" t="s">
        <v>23</v>
      </c>
      <c r="D45" t="s">
        <v>22</v>
      </c>
      <c r="E45" s="3">
        <v>300</v>
      </c>
      <c r="F45" s="4">
        <v>44382</v>
      </c>
      <c r="G45" s="2" t="s">
        <v>26</v>
      </c>
      <c r="L45">
        <v>482</v>
      </c>
      <c r="M45" t="str">
        <v>CONSULTORIA</v>
      </c>
      <c r="N45" t="str">
        <v>CLIENTE-0005</v>
      </c>
      <c r="O45" t="str">
        <v>BARCELONA</v>
      </c>
      <c r="P45">
        <v>120</v>
      </c>
      <c r="Q45">
        <v>43654</v>
      </c>
      <c r="R45" t="str">
        <v>NO</v>
      </c>
    </row>
    <row r="46" spans="1:18" x14ac:dyDescent="0.25">
      <c r="A46" s="2">
        <v>45</v>
      </c>
      <c r="B46" t="s">
        <v>16</v>
      </c>
      <c r="C46" t="s">
        <v>24</v>
      </c>
      <c r="D46" t="s">
        <v>9</v>
      </c>
      <c r="E46" s="3">
        <v>120</v>
      </c>
      <c r="F46" s="4">
        <v>44382</v>
      </c>
      <c r="G46" s="2" t="s">
        <v>26</v>
      </c>
      <c r="L46">
        <v>486</v>
      </c>
      <c r="M46" t="str">
        <v>PROGRAMA</v>
      </c>
      <c r="N46" t="str">
        <v>CLIENTE-0008</v>
      </c>
      <c r="O46" t="str">
        <v>ALICANTE</v>
      </c>
      <c r="P46">
        <v>120</v>
      </c>
      <c r="Q46">
        <v>44483</v>
      </c>
      <c r="R46" t="str">
        <v>SI</v>
      </c>
    </row>
    <row r="47" spans="1:18" x14ac:dyDescent="0.25">
      <c r="A47" s="2">
        <v>46</v>
      </c>
      <c r="B47" t="s">
        <v>18</v>
      </c>
      <c r="C47" t="s">
        <v>8</v>
      </c>
      <c r="D47" t="s">
        <v>9</v>
      </c>
      <c r="E47" s="3">
        <v>150</v>
      </c>
      <c r="F47" s="4">
        <v>44528</v>
      </c>
      <c r="G47" s="2" t="s">
        <v>26</v>
      </c>
      <c r="L47">
        <v>517</v>
      </c>
      <c r="M47" t="str">
        <v>PROGRAMA</v>
      </c>
      <c r="N47" t="str">
        <v>CLIENTE-0007</v>
      </c>
      <c r="O47" t="str">
        <v>BARCELONA</v>
      </c>
      <c r="P47">
        <v>120</v>
      </c>
      <c r="Q47">
        <v>44427</v>
      </c>
      <c r="R47" t="str">
        <v>SI</v>
      </c>
    </row>
    <row r="48" spans="1:18" x14ac:dyDescent="0.25">
      <c r="A48" s="2">
        <v>47</v>
      </c>
      <c r="B48" t="s">
        <v>20</v>
      </c>
      <c r="C48" t="s">
        <v>12</v>
      </c>
      <c r="D48" t="s">
        <v>13</v>
      </c>
      <c r="E48" s="3">
        <v>8500</v>
      </c>
      <c r="F48" s="4">
        <v>44259</v>
      </c>
      <c r="G48" s="2" t="s">
        <v>26</v>
      </c>
      <c r="L48">
        <v>521</v>
      </c>
      <c r="M48" t="str">
        <v>FORMACION</v>
      </c>
      <c r="N48" t="str">
        <v>CLIENTE-0004</v>
      </c>
      <c r="O48" t="str">
        <v>MADRID</v>
      </c>
      <c r="P48">
        <v>120</v>
      </c>
      <c r="Q48">
        <v>43826</v>
      </c>
      <c r="R48" t="str">
        <v>SI</v>
      </c>
    </row>
    <row r="49" spans="1:18" x14ac:dyDescent="0.25">
      <c r="A49" s="2">
        <v>48</v>
      </c>
      <c r="B49" t="s">
        <v>7</v>
      </c>
      <c r="C49" t="s">
        <v>15</v>
      </c>
      <c r="D49" t="s">
        <v>13</v>
      </c>
      <c r="E49" s="3">
        <v>1200</v>
      </c>
      <c r="F49" s="4">
        <v>44423</v>
      </c>
      <c r="G49" s="2" t="s">
        <v>26</v>
      </c>
      <c r="L49">
        <v>540</v>
      </c>
      <c r="M49" t="str">
        <v>PROYECTO</v>
      </c>
      <c r="N49" t="str">
        <v>CLIENTE-0005</v>
      </c>
      <c r="O49" t="str">
        <v>BARCELONA</v>
      </c>
      <c r="P49">
        <v>120</v>
      </c>
      <c r="Q49">
        <v>43577</v>
      </c>
      <c r="R49" t="str">
        <v>SI</v>
      </c>
    </row>
    <row r="50" spans="1:18" x14ac:dyDescent="0.25">
      <c r="A50" s="2">
        <v>49</v>
      </c>
      <c r="B50" t="s">
        <v>11</v>
      </c>
      <c r="C50" t="s">
        <v>17</v>
      </c>
      <c r="D50" t="s">
        <v>13</v>
      </c>
      <c r="E50" s="3">
        <v>300</v>
      </c>
      <c r="F50" s="4">
        <v>44202</v>
      </c>
      <c r="G50" s="2" t="s">
        <v>26</v>
      </c>
      <c r="L50">
        <v>544</v>
      </c>
      <c r="M50" t="str">
        <v>CONSULTORIA</v>
      </c>
      <c r="N50" t="str">
        <v>CLIENTE-0009</v>
      </c>
      <c r="O50" t="str">
        <v>ALICANTE</v>
      </c>
      <c r="P50">
        <v>120</v>
      </c>
      <c r="Q50">
        <v>44147</v>
      </c>
      <c r="R50" t="str">
        <v>SI</v>
      </c>
    </row>
    <row r="51" spans="1:18" x14ac:dyDescent="0.25">
      <c r="A51" s="2">
        <v>50</v>
      </c>
      <c r="B51" t="s">
        <v>14</v>
      </c>
      <c r="C51" t="s">
        <v>19</v>
      </c>
      <c r="D51" t="s">
        <v>9</v>
      </c>
      <c r="E51" s="3">
        <v>200</v>
      </c>
      <c r="F51" s="4">
        <v>43934</v>
      </c>
      <c r="G51" s="2" t="s">
        <v>10</v>
      </c>
      <c r="L51">
        <v>551</v>
      </c>
      <c r="M51" t="str">
        <v>DESARROLLO</v>
      </c>
      <c r="N51" t="str">
        <v>CLIENTE-0008</v>
      </c>
      <c r="O51" t="str">
        <v>ALICANTE</v>
      </c>
      <c r="P51">
        <v>120</v>
      </c>
      <c r="Q51">
        <v>44555</v>
      </c>
      <c r="R51" t="str">
        <v>NO</v>
      </c>
    </row>
    <row r="52" spans="1:18" x14ac:dyDescent="0.25">
      <c r="A52" s="2">
        <v>51</v>
      </c>
      <c r="B52" t="s">
        <v>16</v>
      </c>
      <c r="C52" t="s">
        <v>8</v>
      </c>
      <c r="D52" t="s">
        <v>9</v>
      </c>
      <c r="E52" s="3">
        <v>150</v>
      </c>
      <c r="F52" s="4">
        <v>44007</v>
      </c>
      <c r="G52" s="2" t="s">
        <v>10</v>
      </c>
      <c r="L52">
        <v>555</v>
      </c>
      <c r="M52" t="str">
        <v>FORMACION</v>
      </c>
      <c r="N52" t="str">
        <v>CLIENTE-0010</v>
      </c>
      <c r="O52" t="str">
        <v>MADRID</v>
      </c>
      <c r="P52">
        <v>120</v>
      </c>
      <c r="Q52">
        <v>44304</v>
      </c>
      <c r="R52" t="str">
        <v>SI</v>
      </c>
    </row>
    <row r="53" spans="1:18" x14ac:dyDescent="0.25">
      <c r="A53" s="2">
        <v>52</v>
      </c>
      <c r="B53" t="s">
        <v>18</v>
      </c>
      <c r="C53" t="s">
        <v>12</v>
      </c>
      <c r="D53" t="s">
        <v>13</v>
      </c>
      <c r="E53" s="3">
        <v>120</v>
      </c>
      <c r="F53" s="4">
        <v>44437</v>
      </c>
      <c r="G53" s="2" t="s">
        <v>10</v>
      </c>
      <c r="L53">
        <v>586</v>
      </c>
      <c r="M53" t="str">
        <v>DESARROLLO</v>
      </c>
      <c r="N53" t="str">
        <v>CLIENTE-0004</v>
      </c>
      <c r="O53" t="str">
        <v>MADRID</v>
      </c>
      <c r="P53">
        <v>120</v>
      </c>
      <c r="Q53">
        <v>44215</v>
      </c>
      <c r="R53" t="str">
        <v>SI</v>
      </c>
    </row>
    <row r="54" spans="1:18" x14ac:dyDescent="0.25">
      <c r="A54" s="2">
        <v>53</v>
      </c>
      <c r="B54" t="s">
        <v>20</v>
      </c>
      <c r="C54" t="s">
        <v>12</v>
      </c>
      <c r="D54" t="s">
        <v>13</v>
      </c>
      <c r="E54" s="3">
        <v>300</v>
      </c>
      <c r="F54" s="4">
        <v>44216</v>
      </c>
      <c r="G54" s="2" t="s">
        <v>10</v>
      </c>
      <c r="L54">
        <v>590</v>
      </c>
      <c r="M54" t="str">
        <v>FORMACION</v>
      </c>
      <c r="N54" t="str">
        <v>CLIENTE-0007</v>
      </c>
      <c r="O54" t="str">
        <v>BARCELONA</v>
      </c>
      <c r="P54">
        <v>120</v>
      </c>
      <c r="Q54">
        <v>43588</v>
      </c>
      <c r="R54" t="str">
        <v>SI</v>
      </c>
    </row>
    <row r="55" spans="1:18" x14ac:dyDescent="0.25">
      <c r="A55" s="2">
        <v>54</v>
      </c>
      <c r="B55" t="s">
        <v>7</v>
      </c>
      <c r="C55" t="s">
        <v>15</v>
      </c>
      <c r="D55" t="s">
        <v>13</v>
      </c>
      <c r="E55" s="3">
        <v>350</v>
      </c>
      <c r="F55" s="4">
        <v>44546</v>
      </c>
      <c r="G55" s="2" t="s">
        <v>10</v>
      </c>
      <c r="L55">
        <v>609</v>
      </c>
      <c r="M55" t="str">
        <v>FORMACION</v>
      </c>
      <c r="N55" t="str">
        <v>CLIENTE-0007</v>
      </c>
      <c r="O55" t="str">
        <v>BARCELONA</v>
      </c>
      <c r="P55">
        <v>120</v>
      </c>
      <c r="Q55">
        <v>43874</v>
      </c>
      <c r="R55" t="str">
        <v>NO</v>
      </c>
    </row>
    <row r="56" spans="1:18" x14ac:dyDescent="0.25">
      <c r="A56" s="2">
        <v>55</v>
      </c>
      <c r="B56" t="s">
        <v>11</v>
      </c>
      <c r="C56" t="s">
        <v>17</v>
      </c>
      <c r="D56" t="s">
        <v>13</v>
      </c>
      <c r="E56" s="3">
        <v>300</v>
      </c>
      <c r="F56" s="4">
        <v>44141</v>
      </c>
      <c r="G56" s="2" t="s">
        <v>10</v>
      </c>
      <c r="L56">
        <v>613</v>
      </c>
      <c r="M56" t="str">
        <v>EQUIPOS</v>
      </c>
      <c r="N56" t="str">
        <v>CLIENTE-0005</v>
      </c>
      <c r="O56" t="str">
        <v>BARCELONA</v>
      </c>
      <c r="P56">
        <v>120</v>
      </c>
      <c r="Q56">
        <v>44302</v>
      </c>
      <c r="R56" t="str">
        <v>SI</v>
      </c>
    </row>
    <row r="57" spans="1:18" x14ac:dyDescent="0.25">
      <c r="A57" s="2">
        <v>56</v>
      </c>
      <c r="B57" t="s">
        <v>14</v>
      </c>
      <c r="C57" t="s">
        <v>21</v>
      </c>
      <c r="D57" t="s">
        <v>22</v>
      </c>
      <c r="E57" s="3">
        <v>120</v>
      </c>
      <c r="F57" s="4">
        <v>44537</v>
      </c>
      <c r="G57" s="2" t="s">
        <v>10</v>
      </c>
      <c r="L57">
        <v>620</v>
      </c>
      <c r="M57" t="str">
        <v>CONSULTORIA</v>
      </c>
      <c r="N57" t="str">
        <v>CLIENTE-0010</v>
      </c>
      <c r="O57" t="str">
        <v>MADRID</v>
      </c>
      <c r="P57">
        <v>120</v>
      </c>
      <c r="Q57">
        <v>44214</v>
      </c>
      <c r="R57" t="str">
        <v>NO</v>
      </c>
    </row>
    <row r="58" spans="1:18" x14ac:dyDescent="0.25">
      <c r="A58" s="2">
        <v>57</v>
      </c>
      <c r="B58" t="s">
        <v>16</v>
      </c>
      <c r="C58" t="s">
        <v>23</v>
      </c>
      <c r="D58" t="s">
        <v>22</v>
      </c>
      <c r="E58" s="3">
        <v>150</v>
      </c>
      <c r="F58" s="4">
        <v>43503</v>
      </c>
      <c r="G58" s="2" t="s">
        <v>26</v>
      </c>
      <c r="L58">
        <v>624</v>
      </c>
      <c r="M58" t="str">
        <v>PROGRAMA</v>
      </c>
      <c r="N58" t="str">
        <v>CLIENTE-0004</v>
      </c>
      <c r="O58" t="str">
        <v>MADRID</v>
      </c>
      <c r="P58">
        <v>120</v>
      </c>
      <c r="Q58">
        <v>44102</v>
      </c>
      <c r="R58" t="str">
        <v>SI</v>
      </c>
    </row>
    <row r="59" spans="1:18" x14ac:dyDescent="0.25">
      <c r="A59" s="2">
        <v>58</v>
      </c>
      <c r="B59" t="s">
        <v>18</v>
      </c>
      <c r="C59" t="s">
        <v>24</v>
      </c>
      <c r="D59" t="s">
        <v>9</v>
      </c>
      <c r="E59" s="3">
        <v>1200</v>
      </c>
      <c r="F59" s="4">
        <v>43660</v>
      </c>
      <c r="G59" s="2" t="s">
        <v>26</v>
      </c>
      <c r="L59">
        <v>634</v>
      </c>
      <c r="M59" t="str">
        <v>PROYECTO</v>
      </c>
      <c r="N59" t="str">
        <v>CLIENTE-0006</v>
      </c>
      <c r="O59" t="str">
        <v>BARCELONA</v>
      </c>
      <c r="P59">
        <v>120</v>
      </c>
      <c r="Q59">
        <v>43577</v>
      </c>
      <c r="R59" t="str">
        <v>SI</v>
      </c>
    </row>
    <row r="60" spans="1:18" x14ac:dyDescent="0.25">
      <c r="A60" s="2">
        <v>59</v>
      </c>
      <c r="B60" t="s">
        <v>20</v>
      </c>
      <c r="C60" t="s">
        <v>25</v>
      </c>
      <c r="D60" t="s">
        <v>9</v>
      </c>
      <c r="E60" s="3">
        <v>800</v>
      </c>
      <c r="F60" s="4">
        <v>44056</v>
      </c>
      <c r="G60" s="2" t="s">
        <v>26</v>
      </c>
      <c r="L60">
        <v>653</v>
      </c>
      <c r="M60" t="str">
        <v>FORMACION</v>
      </c>
      <c r="N60" t="str">
        <v>CLIENTE-0001</v>
      </c>
      <c r="O60" t="str">
        <v>MADRID</v>
      </c>
      <c r="P60">
        <v>120</v>
      </c>
      <c r="Q60">
        <v>44334</v>
      </c>
      <c r="R60" t="str">
        <v>SI</v>
      </c>
    </row>
    <row r="61" spans="1:18" x14ac:dyDescent="0.25">
      <c r="A61" s="2">
        <v>60</v>
      </c>
      <c r="B61" t="s">
        <v>7</v>
      </c>
      <c r="C61" t="s">
        <v>24</v>
      </c>
      <c r="D61" t="s">
        <v>9</v>
      </c>
      <c r="E61" s="3">
        <v>750</v>
      </c>
      <c r="F61" s="4">
        <v>44096</v>
      </c>
      <c r="G61" s="2" t="s">
        <v>26</v>
      </c>
      <c r="L61">
        <v>657</v>
      </c>
      <c r="M61" t="str">
        <v>EQUIPOS</v>
      </c>
      <c r="N61" t="str">
        <v>CLIENTE-0010</v>
      </c>
      <c r="O61" t="str">
        <v>MADRID</v>
      </c>
      <c r="P61">
        <v>120</v>
      </c>
      <c r="Q61">
        <v>44049</v>
      </c>
      <c r="R61" t="str">
        <v>SI</v>
      </c>
    </row>
    <row r="62" spans="1:18" x14ac:dyDescent="0.25">
      <c r="A62" s="2">
        <v>61</v>
      </c>
      <c r="B62" t="s">
        <v>11</v>
      </c>
      <c r="C62" t="s">
        <v>25</v>
      </c>
      <c r="D62" t="s">
        <v>9</v>
      </c>
      <c r="E62" s="3">
        <v>4500</v>
      </c>
      <c r="F62" s="4">
        <v>44327</v>
      </c>
      <c r="G62" s="2" t="s">
        <v>26</v>
      </c>
      <c r="L62">
        <v>664</v>
      </c>
      <c r="M62" t="str">
        <v>PROGRAMA</v>
      </c>
      <c r="N62" t="str">
        <v>CLIENTE-0009</v>
      </c>
      <c r="O62" t="str">
        <v>ALICANTE</v>
      </c>
      <c r="P62">
        <v>120</v>
      </c>
      <c r="Q62">
        <v>44142</v>
      </c>
      <c r="R62" t="str">
        <v>SI</v>
      </c>
    </row>
    <row r="63" spans="1:18" x14ac:dyDescent="0.25">
      <c r="A63" s="2">
        <v>62</v>
      </c>
      <c r="B63" t="s">
        <v>14</v>
      </c>
      <c r="C63" t="s">
        <v>27</v>
      </c>
      <c r="D63" t="s">
        <v>22</v>
      </c>
      <c r="E63" s="3">
        <v>500</v>
      </c>
      <c r="F63" s="4">
        <v>43956</v>
      </c>
      <c r="G63" s="2" t="s">
        <v>26</v>
      </c>
      <c r="L63">
        <v>672</v>
      </c>
      <c r="M63" t="str">
        <v>FORMACION</v>
      </c>
      <c r="N63" t="str">
        <v>CLIENTE-0005</v>
      </c>
      <c r="O63" t="str">
        <v>BARCELONA</v>
      </c>
      <c r="P63">
        <v>120</v>
      </c>
      <c r="Q63">
        <v>44219</v>
      </c>
      <c r="R63" t="str">
        <v>NO</v>
      </c>
    </row>
    <row r="64" spans="1:18" x14ac:dyDescent="0.25">
      <c r="A64" s="2">
        <v>63</v>
      </c>
      <c r="B64" t="s">
        <v>16</v>
      </c>
      <c r="C64" t="s">
        <v>19</v>
      </c>
      <c r="D64" t="s">
        <v>9</v>
      </c>
      <c r="E64" s="3">
        <v>750</v>
      </c>
      <c r="F64" s="4">
        <v>43950</v>
      </c>
      <c r="G64" s="2" t="s">
        <v>10</v>
      </c>
      <c r="L64">
        <v>676</v>
      </c>
      <c r="M64" t="str">
        <v>EQUIPOS</v>
      </c>
      <c r="N64" t="str">
        <v>CLIENTE-0009</v>
      </c>
      <c r="O64" t="str">
        <v>ALICANTE</v>
      </c>
      <c r="P64">
        <v>120</v>
      </c>
      <c r="Q64">
        <v>44215</v>
      </c>
      <c r="R64" t="str">
        <v>NO</v>
      </c>
    </row>
    <row r="65" spans="1:18" x14ac:dyDescent="0.25">
      <c r="A65" s="2">
        <v>64</v>
      </c>
      <c r="B65" t="s">
        <v>18</v>
      </c>
      <c r="C65" t="s">
        <v>8</v>
      </c>
      <c r="D65" t="s">
        <v>9</v>
      </c>
      <c r="E65" s="3">
        <v>950</v>
      </c>
      <c r="F65" s="4">
        <v>43634</v>
      </c>
      <c r="G65" s="2" t="s">
        <v>10</v>
      </c>
      <c r="L65">
        <v>695</v>
      </c>
      <c r="M65" t="str">
        <v>CONSULTORIA</v>
      </c>
      <c r="N65" t="str">
        <v>CLIENTE-0003</v>
      </c>
      <c r="O65" t="str">
        <v>MADRID</v>
      </c>
      <c r="P65">
        <v>120</v>
      </c>
      <c r="Q65">
        <v>44359</v>
      </c>
      <c r="R65" t="str">
        <v>SI</v>
      </c>
    </row>
    <row r="66" spans="1:18" x14ac:dyDescent="0.25">
      <c r="A66" s="2">
        <v>65</v>
      </c>
      <c r="B66" t="s">
        <v>20</v>
      </c>
      <c r="C66" t="s">
        <v>12</v>
      </c>
      <c r="D66" t="s">
        <v>13</v>
      </c>
      <c r="E66" s="3">
        <v>680</v>
      </c>
      <c r="F66" s="4">
        <v>44238</v>
      </c>
      <c r="G66" s="2" t="s">
        <v>10</v>
      </c>
      <c r="L66">
        <v>699</v>
      </c>
      <c r="M66" t="str">
        <v>PROGRAMA</v>
      </c>
      <c r="N66" t="str">
        <v>CLIENTE-0007</v>
      </c>
      <c r="O66" t="str">
        <v>BARCELONA</v>
      </c>
      <c r="P66">
        <v>120</v>
      </c>
      <c r="Q66">
        <v>43964</v>
      </c>
      <c r="R66" t="str">
        <v>NO</v>
      </c>
    </row>
    <row r="67" spans="1:18" x14ac:dyDescent="0.25">
      <c r="A67" s="2">
        <v>66</v>
      </c>
      <c r="B67" t="s">
        <v>7</v>
      </c>
      <c r="C67" t="s">
        <v>15</v>
      </c>
      <c r="D67" t="s">
        <v>13</v>
      </c>
      <c r="E67" s="3">
        <v>950</v>
      </c>
      <c r="F67" s="4">
        <v>44269</v>
      </c>
      <c r="G67" s="2" t="s">
        <v>10</v>
      </c>
      <c r="L67">
        <v>706</v>
      </c>
      <c r="M67" t="str">
        <v>FORMACION</v>
      </c>
      <c r="N67" t="str">
        <v>CLIENTE-0006</v>
      </c>
      <c r="O67" t="str">
        <v>BARCELONA</v>
      </c>
      <c r="P67">
        <v>120</v>
      </c>
      <c r="Q67">
        <v>43840</v>
      </c>
      <c r="R67" t="str">
        <v>SI</v>
      </c>
    </row>
    <row r="68" spans="1:18" x14ac:dyDescent="0.25">
      <c r="A68" s="2">
        <v>67</v>
      </c>
      <c r="B68" t="s">
        <v>11</v>
      </c>
      <c r="C68" t="s">
        <v>17</v>
      </c>
      <c r="D68" t="s">
        <v>13</v>
      </c>
      <c r="E68" s="3">
        <v>1500</v>
      </c>
      <c r="F68" s="4">
        <v>44444</v>
      </c>
      <c r="G68" s="2" t="s">
        <v>10</v>
      </c>
      <c r="L68">
        <v>710</v>
      </c>
      <c r="M68" t="str">
        <v>EQUIPOS</v>
      </c>
      <c r="N68" t="str">
        <v>CLIENTE-0010</v>
      </c>
      <c r="O68" t="str">
        <v>MADRID</v>
      </c>
      <c r="P68">
        <v>120</v>
      </c>
      <c r="Q68">
        <v>44555</v>
      </c>
      <c r="R68" t="str">
        <v>SI</v>
      </c>
    </row>
    <row r="69" spans="1:18" x14ac:dyDescent="0.25">
      <c r="A69" s="2">
        <v>68</v>
      </c>
      <c r="B69" t="s">
        <v>14</v>
      </c>
      <c r="C69" t="s">
        <v>21</v>
      </c>
      <c r="D69" t="s">
        <v>22</v>
      </c>
      <c r="E69" s="3">
        <v>5000</v>
      </c>
      <c r="F69" s="4">
        <v>43942</v>
      </c>
      <c r="G69" s="2" t="s">
        <v>10</v>
      </c>
      <c r="L69">
        <v>737</v>
      </c>
      <c r="M69" t="str">
        <v>DESARROLLO</v>
      </c>
      <c r="N69" t="str">
        <v>CLIENTE-0005</v>
      </c>
      <c r="O69" t="str">
        <v>BARCELONA</v>
      </c>
      <c r="P69">
        <v>120</v>
      </c>
      <c r="Q69">
        <v>44306</v>
      </c>
      <c r="R69" t="str">
        <v>SI</v>
      </c>
    </row>
    <row r="70" spans="1:18" x14ac:dyDescent="0.25">
      <c r="A70" s="2">
        <v>69</v>
      </c>
      <c r="B70" t="s">
        <v>20</v>
      </c>
      <c r="C70" t="s">
        <v>23</v>
      </c>
      <c r="D70" t="s">
        <v>22</v>
      </c>
      <c r="E70" s="3">
        <v>6500</v>
      </c>
      <c r="F70" s="4">
        <v>43587</v>
      </c>
      <c r="G70" s="2" t="s">
        <v>10</v>
      </c>
      <c r="L70">
        <v>741</v>
      </c>
      <c r="M70" t="str">
        <v>FORMACION</v>
      </c>
      <c r="N70" t="str">
        <v>CLIENTE-0006</v>
      </c>
      <c r="O70" t="str">
        <v>BARCELONA</v>
      </c>
      <c r="P70">
        <v>120</v>
      </c>
      <c r="Q70">
        <v>43636</v>
      </c>
      <c r="R70" t="str">
        <v>NO</v>
      </c>
    </row>
    <row r="71" spans="1:18" x14ac:dyDescent="0.25">
      <c r="A71" s="2">
        <v>70</v>
      </c>
      <c r="B71" t="s">
        <v>7</v>
      </c>
      <c r="C71" t="s">
        <v>24</v>
      </c>
      <c r="D71" t="s">
        <v>9</v>
      </c>
      <c r="E71" s="3">
        <v>1200</v>
      </c>
      <c r="F71" s="4">
        <v>43584</v>
      </c>
      <c r="G71" s="2" t="s">
        <v>10</v>
      </c>
      <c r="L71">
        <v>760</v>
      </c>
      <c r="M71" t="str">
        <v>FORMACION</v>
      </c>
      <c r="N71" t="str">
        <v>CLIENTE-0007</v>
      </c>
      <c r="O71" t="str">
        <v>BARCELONA</v>
      </c>
      <c r="P71">
        <v>120</v>
      </c>
      <c r="Q71">
        <v>44450</v>
      </c>
      <c r="R71" t="str">
        <v>SI</v>
      </c>
    </row>
    <row r="72" spans="1:18" x14ac:dyDescent="0.25">
      <c r="A72" s="2">
        <v>71</v>
      </c>
      <c r="B72" t="s">
        <v>11</v>
      </c>
      <c r="C72" t="s">
        <v>8</v>
      </c>
      <c r="D72" t="s">
        <v>9</v>
      </c>
      <c r="E72" s="3">
        <v>800</v>
      </c>
      <c r="F72" s="4">
        <v>44280</v>
      </c>
      <c r="G72" s="2" t="s">
        <v>10</v>
      </c>
      <c r="L72">
        <v>764</v>
      </c>
      <c r="M72" t="str">
        <v>EQUIPOS</v>
      </c>
      <c r="N72" t="str">
        <v>CLIENTE-0004</v>
      </c>
      <c r="O72" t="str">
        <v>MADRID</v>
      </c>
      <c r="P72">
        <v>120</v>
      </c>
      <c r="Q72">
        <v>43854</v>
      </c>
      <c r="R72" t="str">
        <v>SI</v>
      </c>
    </row>
    <row r="73" spans="1:18" x14ac:dyDescent="0.25">
      <c r="A73" s="2">
        <v>72</v>
      </c>
      <c r="B73" t="s">
        <v>14</v>
      </c>
      <c r="C73" t="s">
        <v>12</v>
      </c>
      <c r="D73" t="s">
        <v>13</v>
      </c>
      <c r="E73" s="3">
        <v>750</v>
      </c>
      <c r="F73" s="4">
        <v>43977</v>
      </c>
      <c r="G73" s="2" t="s">
        <v>10</v>
      </c>
      <c r="L73">
        <v>771</v>
      </c>
      <c r="M73" t="str">
        <v>CONSULTORIA</v>
      </c>
      <c r="N73" t="str">
        <v>CLIENTE-0010</v>
      </c>
      <c r="O73" t="str">
        <v>MADRID</v>
      </c>
      <c r="P73">
        <v>120</v>
      </c>
      <c r="Q73">
        <v>43583</v>
      </c>
      <c r="R73" t="str">
        <v>NO</v>
      </c>
    </row>
    <row r="74" spans="1:18" x14ac:dyDescent="0.25">
      <c r="A74" s="2">
        <v>73</v>
      </c>
      <c r="B74" t="s">
        <v>16</v>
      </c>
      <c r="C74" t="s">
        <v>12</v>
      </c>
      <c r="D74" t="s">
        <v>13</v>
      </c>
      <c r="E74" s="3">
        <v>4500</v>
      </c>
      <c r="F74" s="4">
        <v>44004</v>
      </c>
      <c r="G74" s="2" t="s">
        <v>10</v>
      </c>
      <c r="L74">
        <v>775</v>
      </c>
      <c r="M74" t="str">
        <v>PROGRAMA</v>
      </c>
      <c r="N74" t="str">
        <v>CLIENTE-0002</v>
      </c>
      <c r="O74" t="str">
        <v>ALICANTE</v>
      </c>
      <c r="P74">
        <v>120</v>
      </c>
      <c r="Q74">
        <v>44320</v>
      </c>
      <c r="R74" t="str">
        <v>NO</v>
      </c>
    </row>
    <row r="75" spans="1:18" x14ac:dyDescent="0.25">
      <c r="A75" s="2">
        <v>74</v>
      </c>
      <c r="B75" t="s">
        <v>18</v>
      </c>
      <c r="C75" t="s">
        <v>15</v>
      </c>
      <c r="D75" t="s">
        <v>13</v>
      </c>
      <c r="E75" s="3">
        <v>500</v>
      </c>
      <c r="F75" s="4">
        <v>44016</v>
      </c>
      <c r="G75" s="2" t="s">
        <v>10</v>
      </c>
      <c r="L75">
        <v>17</v>
      </c>
      <c r="M75" t="str">
        <v>DESARROLLO</v>
      </c>
      <c r="N75" t="str">
        <v>CLIENTE-0002</v>
      </c>
      <c r="O75" t="str">
        <v>ALICANTE</v>
      </c>
      <c r="P75">
        <v>150</v>
      </c>
      <c r="Q75">
        <v>43614</v>
      </c>
      <c r="R75" t="str">
        <v>NO</v>
      </c>
    </row>
    <row r="76" spans="1:18" x14ac:dyDescent="0.25">
      <c r="A76" s="2">
        <v>75</v>
      </c>
      <c r="B76" t="s">
        <v>20</v>
      </c>
      <c r="C76" t="s">
        <v>17</v>
      </c>
      <c r="D76" t="s">
        <v>13</v>
      </c>
      <c r="E76" s="3">
        <v>750</v>
      </c>
      <c r="F76" s="4">
        <v>44174</v>
      </c>
      <c r="G76" s="2" t="s">
        <v>10</v>
      </c>
      <c r="L76">
        <v>23</v>
      </c>
      <c r="M76" t="str">
        <v>DESARROLLO</v>
      </c>
      <c r="N76" t="str">
        <v>CLIENTE-0008</v>
      </c>
      <c r="O76" t="str">
        <v>ALICANTE</v>
      </c>
      <c r="P76">
        <v>150</v>
      </c>
      <c r="Q76">
        <v>44502</v>
      </c>
      <c r="R76" t="str">
        <v>SI</v>
      </c>
    </row>
    <row r="77" spans="1:18" x14ac:dyDescent="0.25">
      <c r="A77" s="2">
        <v>76</v>
      </c>
      <c r="B77" t="s">
        <v>7</v>
      </c>
      <c r="C77" t="s">
        <v>21</v>
      </c>
      <c r="D77" t="s">
        <v>22</v>
      </c>
      <c r="E77" s="3">
        <v>950</v>
      </c>
      <c r="F77" s="4">
        <v>44101</v>
      </c>
      <c r="G77" s="2" t="s">
        <v>10</v>
      </c>
      <c r="L77">
        <v>40</v>
      </c>
      <c r="M77" t="str">
        <v>FORMACION</v>
      </c>
      <c r="N77" t="str">
        <v>CLIENTE-0005</v>
      </c>
      <c r="O77" t="str">
        <v>BARCELONA</v>
      </c>
      <c r="P77">
        <v>150</v>
      </c>
      <c r="Q77">
        <v>43783</v>
      </c>
      <c r="R77" t="str">
        <v>SI</v>
      </c>
    </row>
    <row r="78" spans="1:18" x14ac:dyDescent="0.25">
      <c r="A78" s="2">
        <v>77</v>
      </c>
      <c r="B78" t="s">
        <v>11</v>
      </c>
      <c r="C78" t="s">
        <v>23</v>
      </c>
      <c r="D78" t="s">
        <v>22</v>
      </c>
      <c r="E78" s="3">
        <v>680</v>
      </c>
      <c r="F78" s="4">
        <v>43778</v>
      </c>
      <c r="G78" s="2" t="s">
        <v>10</v>
      </c>
      <c r="L78">
        <v>46</v>
      </c>
      <c r="M78" t="str">
        <v>FORMACION</v>
      </c>
      <c r="N78" t="str">
        <v>CLIENTE-0004</v>
      </c>
      <c r="O78" t="str">
        <v>MADRID</v>
      </c>
      <c r="P78">
        <v>150</v>
      </c>
      <c r="Q78">
        <v>44528</v>
      </c>
      <c r="R78" t="str">
        <v>NO</v>
      </c>
    </row>
    <row r="79" spans="1:18" x14ac:dyDescent="0.25">
      <c r="A79" s="2">
        <v>78</v>
      </c>
      <c r="B79" t="s">
        <v>14</v>
      </c>
      <c r="C79" t="s">
        <v>24</v>
      </c>
      <c r="D79" t="s">
        <v>9</v>
      </c>
      <c r="E79" s="3">
        <v>950</v>
      </c>
      <c r="F79" s="4">
        <v>43796</v>
      </c>
      <c r="G79" s="2" t="s">
        <v>10</v>
      </c>
      <c r="L79">
        <v>51</v>
      </c>
      <c r="M79" t="str">
        <v>PROGRAMA</v>
      </c>
      <c r="N79" t="str">
        <v>CLIENTE-0004</v>
      </c>
      <c r="O79" t="str">
        <v>MADRID</v>
      </c>
      <c r="P79">
        <v>150</v>
      </c>
      <c r="Q79">
        <v>44007</v>
      </c>
      <c r="R79" t="str">
        <v>SI</v>
      </c>
    </row>
    <row r="80" spans="1:18" x14ac:dyDescent="0.25">
      <c r="A80" s="2">
        <v>79</v>
      </c>
      <c r="B80" t="s">
        <v>16</v>
      </c>
      <c r="C80" t="s">
        <v>25</v>
      </c>
      <c r="D80" t="s">
        <v>9</v>
      </c>
      <c r="E80" s="3">
        <v>1500</v>
      </c>
      <c r="F80" s="4">
        <v>43634</v>
      </c>
      <c r="G80" s="2" t="s">
        <v>10</v>
      </c>
      <c r="L80">
        <v>57</v>
      </c>
      <c r="M80" t="str">
        <v>PROGRAMA</v>
      </c>
      <c r="N80" t="str">
        <v>CLIENTE-0009</v>
      </c>
      <c r="O80" t="str">
        <v>ALICANTE</v>
      </c>
      <c r="P80">
        <v>150</v>
      </c>
      <c r="Q80">
        <v>43503</v>
      </c>
      <c r="R80" t="str">
        <v>NO</v>
      </c>
    </row>
    <row r="81" spans="1:18" x14ac:dyDescent="0.25">
      <c r="A81" s="2">
        <v>80</v>
      </c>
      <c r="B81" t="s">
        <v>18</v>
      </c>
      <c r="C81" t="s">
        <v>24</v>
      </c>
      <c r="D81" t="s">
        <v>9</v>
      </c>
      <c r="E81" s="3">
        <v>5000</v>
      </c>
      <c r="F81" s="4">
        <v>44287</v>
      </c>
      <c r="G81" s="2" t="s">
        <v>10</v>
      </c>
      <c r="L81">
        <v>86</v>
      </c>
      <c r="M81" t="str">
        <v>FORMACION</v>
      </c>
      <c r="N81" t="str">
        <v>CLIENTE-0006</v>
      </c>
      <c r="O81" t="str">
        <v>BARCELONA</v>
      </c>
      <c r="P81">
        <v>150</v>
      </c>
      <c r="Q81">
        <v>43855</v>
      </c>
      <c r="R81" t="str">
        <v>NO</v>
      </c>
    </row>
    <row r="82" spans="1:18" x14ac:dyDescent="0.25">
      <c r="A82" s="2">
        <v>81</v>
      </c>
      <c r="B82" t="s">
        <v>20</v>
      </c>
      <c r="C82" t="s">
        <v>25</v>
      </c>
      <c r="D82" t="s">
        <v>9</v>
      </c>
      <c r="E82" s="3">
        <v>6500</v>
      </c>
      <c r="F82" s="4">
        <v>44485</v>
      </c>
      <c r="G82" s="2" t="s">
        <v>10</v>
      </c>
      <c r="L82">
        <v>92</v>
      </c>
      <c r="M82" t="str">
        <v>PROGRAMA</v>
      </c>
      <c r="N82" t="str">
        <v>CLIENTE-0005</v>
      </c>
      <c r="O82" t="str">
        <v>BARCELONA</v>
      </c>
      <c r="P82">
        <v>150</v>
      </c>
      <c r="Q82">
        <v>44543</v>
      </c>
      <c r="R82" t="str">
        <v>SI</v>
      </c>
    </row>
    <row r="83" spans="1:18" x14ac:dyDescent="0.25">
      <c r="A83" s="2">
        <v>82</v>
      </c>
      <c r="B83" t="s">
        <v>7</v>
      </c>
      <c r="C83" t="s">
        <v>27</v>
      </c>
      <c r="D83" t="s">
        <v>22</v>
      </c>
      <c r="E83" s="3">
        <v>8500</v>
      </c>
      <c r="F83" s="4">
        <v>43717</v>
      </c>
      <c r="G83" s="2" t="s">
        <v>10</v>
      </c>
      <c r="L83">
        <v>109</v>
      </c>
      <c r="M83" t="str">
        <v>FORMACION</v>
      </c>
      <c r="N83" t="str">
        <v>CLIENTE-0004</v>
      </c>
      <c r="O83" t="str">
        <v>MADRID</v>
      </c>
      <c r="P83">
        <v>150</v>
      </c>
      <c r="Q83">
        <v>43538</v>
      </c>
      <c r="R83" t="str">
        <v>SI</v>
      </c>
    </row>
    <row r="84" spans="1:18" x14ac:dyDescent="0.25">
      <c r="A84" s="2">
        <v>83</v>
      </c>
      <c r="B84" t="s">
        <v>11</v>
      </c>
      <c r="C84" t="s">
        <v>19</v>
      </c>
      <c r="D84" t="s">
        <v>9</v>
      </c>
      <c r="E84" s="3">
        <v>1200</v>
      </c>
      <c r="F84" s="4">
        <v>44191</v>
      </c>
      <c r="G84" s="2" t="s">
        <v>10</v>
      </c>
      <c r="L84">
        <v>115</v>
      </c>
      <c r="M84" t="str">
        <v>PROYECTO</v>
      </c>
      <c r="N84" t="str">
        <v>CLIENTE-0010</v>
      </c>
      <c r="O84" t="str">
        <v>MADRID</v>
      </c>
      <c r="P84">
        <v>150</v>
      </c>
      <c r="Q84">
        <v>44007</v>
      </c>
      <c r="R84" t="str">
        <v>NO</v>
      </c>
    </row>
    <row r="85" spans="1:18" x14ac:dyDescent="0.25">
      <c r="A85" s="2">
        <v>84</v>
      </c>
      <c r="B85" t="s">
        <v>14</v>
      </c>
      <c r="C85" t="s">
        <v>8</v>
      </c>
      <c r="D85" t="s">
        <v>9</v>
      </c>
      <c r="E85" s="3">
        <v>300</v>
      </c>
      <c r="F85" s="4">
        <v>43657</v>
      </c>
      <c r="G85" s="2" t="s">
        <v>26</v>
      </c>
      <c r="L85">
        <v>120</v>
      </c>
      <c r="M85" t="str">
        <v>DESARROLLO</v>
      </c>
      <c r="N85" t="str">
        <v>CLIENTE-0007</v>
      </c>
      <c r="O85" t="str">
        <v>BARCELONA</v>
      </c>
      <c r="P85">
        <v>150</v>
      </c>
      <c r="Q85">
        <v>44133</v>
      </c>
      <c r="R85" t="str">
        <v>SI</v>
      </c>
    </row>
    <row r="86" spans="1:18" x14ac:dyDescent="0.25">
      <c r="A86" s="2">
        <v>85</v>
      </c>
      <c r="B86" t="s">
        <v>16</v>
      </c>
      <c r="C86" t="s">
        <v>12</v>
      </c>
      <c r="D86" t="s">
        <v>13</v>
      </c>
      <c r="E86" s="3">
        <v>200</v>
      </c>
      <c r="F86" s="4">
        <v>43518</v>
      </c>
      <c r="G86" s="2" t="s">
        <v>26</v>
      </c>
      <c r="L86">
        <v>126</v>
      </c>
      <c r="M86" t="str">
        <v>EQUIPOS</v>
      </c>
      <c r="N86" t="str">
        <v>CLIENTE-0001</v>
      </c>
      <c r="O86" t="str">
        <v>MADRID</v>
      </c>
      <c r="P86">
        <v>150</v>
      </c>
      <c r="Q86">
        <v>43470</v>
      </c>
      <c r="R86" t="str">
        <v>SI</v>
      </c>
    </row>
    <row r="87" spans="1:18" x14ac:dyDescent="0.25">
      <c r="A87" s="2">
        <v>86</v>
      </c>
      <c r="B87" t="s">
        <v>18</v>
      </c>
      <c r="C87" t="s">
        <v>15</v>
      </c>
      <c r="D87" t="s">
        <v>13</v>
      </c>
      <c r="E87" s="3">
        <v>150</v>
      </c>
      <c r="F87" s="4">
        <v>43855</v>
      </c>
      <c r="G87" s="2" t="s">
        <v>26</v>
      </c>
      <c r="L87">
        <v>155</v>
      </c>
      <c r="M87" t="str">
        <v>PROYECTO</v>
      </c>
      <c r="N87" t="str">
        <v>CLIENTE-0005</v>
      </c>
      <c r="O87" t="str">
        <v>BARCELONA</v>
      </c>
      <c r="P87">
        <v>150</v>
      </c>
      <c r="Q87">
        <v>44222</v>
      </c>
      <c r="R87" t="str">
        <v>NO</v>
      </c>
    </row>
    <row r="88" spans="1:18" x14ac:dyDescent="0.25">
      <c r="A88" s="2">
        <v>87</v>
      </c>
      <c r="B88" t="s">
        <v>20</v>
      </c>
      <c r="C88" t="s">
        <v>17</v>
      </c>
      <c r="D88" t="s">
        <v>13</v>
      </c>
      <c r="E88" s="3">
        <v>120</v>
      </c>
      <c r="F88" s="4">
        <v>44113</v>
      </c>
      <c r="G88" s="2" t="s">
        <v>26</v>
      </c>
      <c r="L88">
        <v>161</v>
      </c>
      <c r="M88" t="str">
        <v>PROGRAMA</v>
      </c>
      <c r="N88" t="str">
        <v>CLIENTE-0004</v>
      </c>
      <c r="O88" t="str">
        <v>MADRID</v>
      </c>
      <c r="P88">
        <v>150</v>
      </c>
      <c r="Q88">
        <v>43919</v>
      </c>
      <c r="R88" t="str">
        <v>SI</v>
      </c>
    </row>
    <row r="89" spans="1:18" x14ac:dyDescent="0.25">
      <c r="A89" s="2">
        <v>88</v>
      </c>
      <c r="B89" t="s">
        <v>7</v>
      </c>
      <c r="C89" t="s">
        <v>21</v>
      </c>
      <c r="D89" t="s">
        <v>22</v>
      </c>
      <c r="E89" s="3">
        <v>300</v>
      </c>
      <c r="F89" s="4">
        <v>44327</v>
      </c>
      <c r="G89" s="2" t="s">
        <v>26</v>
      </c>
      <c r="L89">
        <v>178</v>
      </c>
      <c r="M89" t="str">
        <v>PROYECTO</v>
      </c>
      <c r="N89" t="str">
        <v>CLIENTE-0008</v>
      </c>
      <c r="O89" t="str">
        <v>ALICANTE</v>
      </c>
      <c r="P89">
        <v>150</v>
      </c>
      <c r="Q89">
        <v>44166</v>
      </c>
      <c r="R89" t="str">
        <v>SI</v>
      </c>
    </row>
    <row r="90" spans="1:18" x14ac:dyDescent="0.25">
      <c r="A90" s="2">
        <v>89</v>
      </c>
      <c r="B90" t="s">
        <v>7</v>
      </c>
      <c r="C90" t="s">
        <v>23</v>
      </c>
      <c r="D90" t="s">
        <v>22</v>
      </c>
      <c r="E90" s="3">
        <v>350</v>
      </c>
      <c r="F90" s="4">
        <v>43727</v>
      </c>
      <c r="G90" s="2" t="s">
        <v>26</v>
      </c>
      <c r="L90">
        <v>184</v>
      </c>
      <c r="M90" t="str">
        <v>PROYECTO</v>
      </c>
      <c r="N90" t="str">
        <v>CLIENTE-0006</v>
      </c>
      <c r="O90" t="str">
        <v>BARCELONA</v>
      </c>
      <c r="P90">
        <v>150</v>
      </c>
      <c r="Q90">
        <v>43673</v>
      </c>
      <c r="R90" t="str">
        <v>NO</v>
      </c>
    </row>
    <row r="91" spans="1:18" x14ac:dyDescent="0.25">
      <c r="A91" s="2">
        <v>90</v>
      </c>
      <c r="B91" t="s">
        <v>11</v>
      </c>
      <c r="C91" t="s">
        <v>24</v>
      </c>
      <c r="D91" t="s">
        <v>9</v>
      </c>
      <c r="E91" s="3">
        <v>300</v>
      </c>
      <c r="F91" s="4">
        <v>43675</v>
      </c>
      <c r="G91" s="2" t="s">
        <v>26</v>
      </c>
      <c r="L91">
        <v>189</v>
      </c>
      <c r="M91" t="str">
        <v>DESARROLLO</v>
      </c>
      <c r="N91" t="str">
        <v>CLIENTE-0001</v>
      </c>
      <c r="O91" t="str">
        <v>MADRID</v>
      </c>
      <c r="P91">
        <v>150</v>
      </c>
      <c r="Q91">
        <v>44303</v>
      </c>
      <c r="R91" t="str">
        <v>SI</v>
      </c>
    </row>
    <row r="92" spans="1:18" x14ac:dyDescent="0.25">
      <c r="A92" s="2">
        <v>91</v>
      </c>
      <c r="B92" t="s">
        <v>14</v>
      </c>
      <c r="C92" t="s">
        <v>8</v>
      </c>
      <c r="D92" t="s">
        <v>9</v>
      </c>
      <c r="E92" s="3">
        <v>120</v>
      </c>
      <c r="F92" s="4">
        <v>43720</v>
      </c>
      <c r="G92" s="2" t="s">
        <v>10</v>
      </c>
      <c r="L92">
        <v>195</v>
      </c>
      <c r="M92" t="str">
        <v>EQUIPOS</v>
      </c>
      <c r="N92" t="str">
        <v>CLIENTE-0005</v>
      </c>
      <c r="O92" t="str">
        <v>BARCELONA</v>
      </c>
      <c r="P92">
        <v>150</v>
      </c>
      <c r="Q92">
        <v>44438</v>
      </c>
      <c r="R92" t="str">
        <v>SI</v>
      </c>
    </row>
    <row r="93" spans="1:18" x14ac:dyDescent="0.25">
      <c r="A93" s="2">
        <v>92</v>
      </c>
      <c r="B93" t="s">
        <v>16</v>
      </c>
      <c r="C93" t="s">
        <v>12</v>
      </c>
      <c r="D93" t="s">
        <v>13</v>
      </c>
      <c r="E93" s="3">
        <v>150</v>
      </c>
      <c r="F93" s="4">
        <v>44543</v>
      </c>
      <c r="G93" s="2" t="s">
        <v>10</v>
      </c>
      <c r="L93">
        <v>224</v>
      </c>
      <c r="M93" t="str">
        <v>DESARROLLO</v>
      </c>
      <c r="N93" t="str">
        <v>CLIENTE-0007</v>
      </c>
      <c r="O93" t="str">
        <v>BARCELONA</v>
      </c>
      <c r="P93">
        <v>150</v>
      </c>
      <c r="Q93">
        <v>43873</v>
      </c>
      <c r="R93" t="str">
        <v>NO</v>
      </c>
    </row>
    <row r="94" spans="1:18" x14ac:dyDescent="0.25">
      <c r="A94" s="2">
        <v>93</v>
      </c>
      <c r="B94" t="s">
        <v>18</v>
      </c>
      <c r="C94" t="s">
        <v>15</v>
      </c>
      <c r="D94" t="s">
        <v>13</v>
      </c>
      <c r="E94" s="3">
        <v>1200</v>
      </c>
      <c r="F94" s="4">
        <v>44020</v>
      </c>
      <c r="G94" s="2" t="s">
        <v>10</v>
      </c>
      <c r="L94">
        <v>230</v>
      </c>
      <c r="M94" t="str">
        <v>DESARROLLO</v>
      </c>
      <c r="N94" t="str">
        <v>CLIENTE-0007</v>
      </c>
      <c r="O94" t="str">
        <v>BARCELONA</v>
      </c>
      <c r="P94">
        <v>150</v>
      </c>
      <c r="Q94">
        <v>44023</v>
      </c>
      <c r="R94" t="str">
        <v>SI</v>
      </c>
    </row>
    <row r="95" spans="1:18" x14ac:dyDescent="0.25">
      <c r="A95" s="2">
        <v>94</v>
      </c>
      <c r="B95" t="s">
        <v>20</v>
      </c>
      <c r="C95" t="s">
        <v>17</v>
      </c>
      <c r="D95" t="s">
        <v>13</v>
      </c>
      <c r="E95" s="3">
        <v>800</v>
      </c>
      <c r="F95" s="4">
        <v>44031</v>
      </c>
      <c r="G95" s="2" t="s">
        <v>10</v>
      </c>
      <c r="L95">
        <v>247</v>
      </c>
      <c r="M95" t="str">
        <v>PROYECTO</v>
      </c>
      <c r="N95" t="str">
        <v>CLIENTE-0005</v>
      </c>
      <c r="O95" t="str">
        <v>BARCELONA</v>
      </c>
      <c r="P95">
        <v>150</v>
      </c>
      <c r="Q95">
        <v>43778</v>
      </c>
      <c r="R95" t="str">
        <v>SI</v>
      </c>
    </row>
    <row r="96" spans="1:18" x14ac:dyDescent="0.25">
      <c r="A96" s="2">
        <v>95</v>
      </c>
      <c r="B96" t="s">
        <v>7</v>
      </c>
      <c r="C96" t="s">
        <v>19</v>
      </c>
      <c r="D96" t="s">
        <v>9</v>
      </c>
      <c r="E96" s="3">
        <v>750</v>
      </c>
      <c r="F96" s="4">
        <v>44127</v>
      </c>
      <c r="G96" s="2" t="s">
        <v>10</v>
      </c>
      <c r="L96">
        <v>253</v>
      </c>
      <c r="M96" t="str">
        <v>PROYECTO</v>
      </c>
      <c r="N96" t="str">
        <v>CLIENTE-0010</v>
      </c>
      <c r="O96" t="str">
        <v>MADRID</v>
      </c>
      <c r="P96">
        <v>150</v>
      </c>
      <c r="Q96">
        <v>43528</v>
      </c>
      <c r="R96" t="str">
        <v>NO</v>
      </c>
    </row>
    <row r="97" spans="1:18" x14ac:dyDescent="0.25">
      <c r="A97" s="2">
        <v>96</v>
      </c>
      <c r="B97" t="s">
        <v>11</v>
      </c>
      <c r="C97" t="s">
        <v>8</v>
      </c>
      <c r="D97" t="s">
        <v>9</v>
      </c>
      <c r="E97" s="3">
        <v>4500</v>
      </c>
      <c r="F97" s="4">
        <v>43752</v>
      </c>
      <c r="G97" s="2" t="s">
        <v>10</v>
      </c>
      <c r="L97">
        <v>258</v>
      </c>
      <c r="M97" t="str">
        <v>DESARROLLO</v>
      </c>
      <c r="N97" t="str">
        <v>CLIENTE-0003</v>
      </c>
      <c r="O97" t="str">
        <v>MADRID</v>
      </c>
      <c r="P97">
        <v>150</v>
      </c>
      <c r="Q97">
        <v>44261</v>
      </c>
      <c r="R97" t="str">
        <v>SI</v>
      </c>
    </row>
    <row r="98" spans="1:18" x14ac:dyDescent="0.25">
      <c r="A98" s="2">
        <v>97</v>
      </c>
      <c r="B98" t="s">
        <v>14</v>
      </c>
      <c r="C98" t="s">
        <v>12</v>
      </c>
      <c r="D98" t="s">
        <v>13</v>
      </c>
      <c r="E98" s="3">
        <v>500</v>
      </c>
      <c r="F98" s="4">
        <v>43785</v>
      </c>
      <c r="G98" s="2" t="s">
        <v>10</v>
      </c>
      <c r="L98">
        <v>264</v>
      </c>
      <c r="M98" t="str">
        <v>DESARROLLO</v>
      </c>
      <c r="N98" t="str">
        <v>CLIENTE-0009</v>
      </c>
      <c r="O98" t="str">
        <v>ALICANTE</v>
      </c>
      <c r="P98">
        <v>150</v>
      </c>
      <c r="Q98">
        <v>44317</v>
      </c>
      <c r="R98" t="str">
        <v>SI</v>
      </c>
    </row>
    <row r="99" spans="1:18" x14ac:dyDescent="0.25">
      <c r="A99" s="2">
        <v>98</v>
      </c>
      <c r="B99" t="s">
        <v>16</v>
      </c>
      <c r="C99" t="s">
        <v>12</v>
      </c>
      <c r="D99" t="s">
        <v>13</v>
      </c>
      <c r="E99" s="3">
        <v>750</v>
      </c>
      <c r="F99" s="4">
        <v>43915</v>
      </c>
      <c r="G99" s="2" t="s">
        <v>10</v>
      </c>
      <c r="L99">
        <v>290</v>
      </c>
      <c r="M99" t="str">
        <v>PROGRAMA</v>
      </c>
      <c r="N99" t="str">
        <v>CLIENTE-0001</v>
      </c>
      <c r="O99" t="str">
        <v>MADRID</v>
      </c>
      <c r="P99">
        <v>150</v>
      </c>
      <c r="Q99">
        <v>44126</v>
      </c>
      <c r="R99" t="str">
        <v>SI</v>
      </c>
    </row>
    <row r="100" spans="1:18" x14ac:dyDescent="0.25">
      <c r="A100" s="2">
        <v>99</v>
      </c>
      <c r="B100" t="s">
        <v>18</v>
      </c>
      <c r="C100" t="s">
        <v>15</v>
      </c>
      <c r="D100" t="s">
        <v>13</v>
      </c>
      <c r="E100" s="3">
        <v>950</v>
      </c>
      <c r="F100" s="4">
        <v>44305</v>
      </c>
      <c r="G100" s="2" t="s">
        <v>10</v>
      </c>
      <c r="L100">
        <v>296</v>
      </c>
      <c r="M100" t="str">
        <v>DESARROLLO</v>
      </c>
      <c r="N100" t="str">
        <v>CLIENTE-0007</v>
      </c>
      <c r="O100" t="str">
        <v>BARCELONA</v>
      </c>
      <c r="P100">
        <v>150</v>
      </c>
      <c r="Q100">
        <v>43774</v>
      </c>
      <c r="R100" t="str">
        <v>SI</v>
      </c>
    </row>
    <row r="101" spans="1:18" x14ac:dyDescent="0.25">
      <c r="A101" s="2">
        <v>100</v>
      </c>
      <c r="B101" t="s">
        <v>20</v>
      </c>
      <c r="C101" t="s">
        <v>17</v>
      </c>
      <c r="D101" t="s">
        <v>13</v>
      </c>
      <c r="E101" s="3">
        <v>680</v>
      </c>
      <c r="F101" s="4">
        <v>44495</v>
      </c>
      <c r="G101" s="2" t="s">
        <v>10</v>
      </c>
      <c r="L101">
        <v>301</v>
      </c>
      <c r="M101" t="str">
        <v>PROYECTO</v>
      </c>
      <c r="N101" t="str">
        <v>CLIENTE-0005</v>
      </c>
      <c r="O101" t="str">
        <v>BARCELONA</v>
      </c>
      <c r="P101">
        <v>150</v>
      </c>
      <c r="Q101">
        <v>43967</v>
      </c>
      <c r="R101" t="str">
        <v>SI</v>
      </c>
    </row>
    <row r="102" spans="1:18" x14ac:dyDescent="0.25">
      <c r="A102" s="2">
        <v>101</v>
      </c>
      <c r="B102" t="s">
        <v>7</v>
      </c>
      <c r="C102" t="s">
        <v>21</v>
      </c>
      <c r="D102" t="s">
        <v>22</v>
      </c>
      <c r="E102" s="3">
        <v>950</v>
      </c>
      <c r="F102" s="4">
        <v>43910</v>
      </c>
      <c r="G102" s="2" t="s">
        <v>10</v>
      </c>
      <c r="L102">
        <v>307</v>
      </c>
      <c r="M102" t="str">
        <v>PROYECTO</v>
      </c>
      <c r="N102" t="str">
        <v>CLIENTE-0010</v>
      </c>
      <c r="O102" t="str">
        <v>MADRID</v>
      </c>
      <c r="P102">
        <v>150</v>
      </c>
      <c r="Q102">
        <v>43605</v>
      </c>
      <c r="R102" t="str">
        <v>NO</v>
      </c>
    </row>
    <row r="103" spans="1:18" x14ac:dyDescent="0.25">
      <c r="A103" s="2">
        <v>102</v>
      </c>
      <c r="B103" t="s">
        <v>11</v>
      </c>
      <c r="C103" t="s">
        <v>23</v>
      </c>
      <c r="D103" t="s">
        <v>22</v>
      </c>
      <c r="E103" s="3">
        <v>1500</v>
      </c>
      <c r="F103" s="4">
        <v>44287</v>
      </c>
      <c r="G103" s="2" t="s">
        <v>10</v>
      </c>
      <c r="L103">
        <v>336</v>
      </c>
      <c r="M103" t="str">
        <v>EQUIPOS</v>
      </c>
      <c r="N103" t="str">
        <v>CLIENTE-0007</v>
      </c>
      <c r="O103" t="str">
        <v>BARCELONA</v>
      </c>
      <c r="P103">
        <v>150</v>
      </c>
      <c r="Q103">
        <v>44401</v>
      </c>
      <c r="R103" t="str">
        <v>SI</v>
      </c>
    </row>
    <row r="104" spans="1:18" x14ac:dyDescent="0.25">
      <c r="A104" s="2">
        <v>103</v>
      </c>
      <c r="B104" t="s">
        <v>14</v>
      </c>
      <c r="C104" t="s">
        <v>24</v>
      </c>
      <c r="D104" t="s">
        <v>9</v>
      </c>
      <c r="E104" s="3">
        <v>5000</v>
      </c>
      <c r="F104" s="4">
        <v>43869</v>
      </c>
      <c r="G104" s="2" t="s">
        <v>10</v>
      </c>
      <c r="L104">
        <v>342</v>
      </c>
      <c r="M104" t="str">
        <v>EQUIPOS</v>
      </c>
      <c r="N104" t="str">
        <v>CLIENTE-0006</v>
      </c>
      <c r="O104" t="str">
        <v>BARCELONA</v>
      </c>
      <c r="P104">
        <v>150</v>
      </c>
      <c r="Q104">
        <v>43778</v>
      </c>
      <c r="R104" t="str">
        <v>SI</v>
      </c>
    </row>
    <row r="105" spans="1:18" x14ac:dyDescent="0.25">
      <c r="A105" s="2">
        <v>104</v>
      </c>
      <c r="B105" t="s">
        <v>20</v>
      </c>
      <c r="C105" t="s">
        <v>25</v>
      </c>
      <c r="D105" t="s">
        <v>9</v>
      </c>
      <c r="E105" s="3">
        <v>6500</v>
      </c>
      <c r="F105" s="4">
        <v>44368</v>
      </c>
      <c r="G105" s="2" t="s">
        <v>10</v>
      </c>
      <c r="L105">
        <v>359</v>
      </c>
      <c r="M105" t="str">
        <v>EQUIPOS</v>
      </c>
      <c r="N105" t="str">
        <v>CLIENTE-0005</v>
      </c>
      <c r="O105" t="str">
        <v>BARCELONA</v>
      </c>
      <c r="P105">
        <v>150</v>
      </c>
      <c r="Q105">
        <v>44424</v>
      </c>
      <c r="R105" t="str">
        <v>SI</v>
      </c>
    </row>
    <row r="106" spans="1:18" x14ac:dyDescent="0.25">
      <c r="A106" s="2">
        <v>105</v>
      </c>
      <c r="B106" t="s">
        <v>7</v>
      </c>
      <c r="C106" t="s">
        <v>24</v>
      </c>
      <c r="D106" t="s">
        <v>9</v>
      </c>
      <c r="E106" s="3">
        <v>8500</v>
      </c>
      <c r="F106" s="4">
        <v>44206</v>
      </c>
      <c r="G106" s="2" t="s">
        <v>10</v>
      </c>
      <c r="L106">
        <v>365</v>
      </c>
      <c r="M106" t="str">
        <v>FORMACION</v>
      </c>
      <c r="N106" t="str">
        <v>CLIENTE-0004</v>
      </c>
      <c r="O106" t="str">
        <v>MADRID</v>
      </c>
      <c r="P106">
        <v>150</v>
      </c>
      <c r="Q106">
        <v>43794</v>
      </c>
      <c r="R106" t="str">
        <v>SI</v>
      </c>
    </row>
    <row r="107" spans="1:18" x14ac:dyDescent="0.25">
      <c r="A107" s="2">
        <v>106</v>
      </c>
      <c r="B107" t="s">
        <v>11</v>
      </c>
      <c r="C107" t="s">
        <v>25</v>
      </c>
      <c r="D107" t="s">
        <v>9</v>
      </c>
      <c r="E107" s="3">
        <v>1200</v>
      </c>
      <c r="F107" s="4">
        <v>43891</v>
      </c>
      <c r="G107" s="2" t="s">
        <v>10</v>
      </c>
      <c r="L107">
        <v>370</v>
      </c>
      <c r="M107" t="str">
        <v>PROGRAMA</v>
      </c>
      <c r="N107" t="str">
        <v>CLIENTE-0008</v>
      </c>
      <c r="O107" t="str">
        <v>ALICANTE</v>
      </c>
      <c r="P107">
        <v>150</v>
      </c>
      <c r="Q107">
        <v>44529</v>
      </c>
      <c r="R107" t="str">
        <v>SI</v>
      </c>
    </row>
    <row r="108" spans="1:18" x14ac:dyDescent="0.25">
      <c r="A108" s="2">
        <v>107</v>
      </c>
      <c r="B108" t="s">
        <v>14</v>
      </c>
      <c r="C108" t="s">
        <v>27</v>
      </c>
      <c r="D108" t="s">
        <v>22</v>
      </c>
      <c r="E108" s="3">
        <v>300</v>
      </c>
      <c r="F108" s="4">
        <v>44080</v>
      </c>
      <c r="G108" s="2" t="s">
        <v>10</v>
      </c>
      <c r="L108">
        <v>378</v>
      </c>
      <c r="M108" t="str">
        <v>CONSULTORIA</v>
      </c>
      <c r="N108" t="str">
        <v>CLIENTE-0004</v>
      </c>
      <c r="O108" t="str">
        <v>MADRID</v>
      </c>
      <c r="P108">
        <v>150</v>
      </c>
      <c r="Q108">
        <v>43533</v>
      </c>
      <c r="R108" t="str">
        <v>NO</v>
      </c>
    </row>
    <row r="109" spans="1:18" x14ac:dyDescent="0.25">
      <c r="A109" s="2">
        <v>108</v>
      </c>
      <c r="B109" t="s">
        <v>16</v>
      </c>
      <c r="C109" t="s">
        <v>19</v>
      </c>
      <c r="D109" t="s">
        <v>9</v>
      </c>
      <c r="E109" s="3">
        <v>200</v>
      </c>
      <c r="F109" s="4">
        <v>44183</v>
      </c>
      <c r="G109" s="2" t="s">
        <v>10</v>
      </c>
      <c r="L109">
        <v>384</v>
      </c>
      <c r="M109" t="str">
        <v>CONSULTORIA</v>
      </c>
      <c r="N109" t="str">
        <v>CLIENTE-0010</v>
      </c>
      <c r="O109" t="str">
        <v>MADRID</v>
      </c>
      <c r="P109">
        <v>150</v>
      </c>
      <c r="Q109">
        <v>43786</v>
      </c>
      <c r="R109" t="str">
        <v>SI</v>
      </c>
    </row>
    <row r="110" spans="1:18" x14ac:dyDescent="0.25">
      <c r="A110" s="2">
        <v>109</v>
      </c>
      <c r="B110" t="s">
        <v>18</v>
      </c>
      <c r="C110" t="s">
        <v>8</v>
      </c>
      <c r="D110" t="s">
        <v>9</v>
      </c>
      <c r="E110" s="3">
        <v>150</v>
      </c>
      <c r="F110" s="4">
        <v>43538</v>
      </c>
      <c r="G110" s="2" t="s">
        <v>10</v>
      </c>
      <c r="L110">
        <v>401</v>
      </c>
      <c r="M110" t="str">
        <v>DESARROLLO</v>
      </c>
      <c r="N110" t="str">
        <v>CLIENTE-0001</v>
      </c>
      <c r="O110" t="str">
        <v>MADRID</v>
      </c>
      <c r="P110">
        <v>150</v>
      </c>
      <c r="Q110">
        <v>43770</v>
      </c>
      <c r="R110" t="str">
        <v>SI</v>
      </c>
    </row>
    <row r="111" spans="1:18" x14ac:dyDescent="0.25">
      <c r="A111" s="2">
        <v>110</v>
      </c>
      <c r="B111" t="s">
        <v>20</v>
      </c>
      <c r="C111" t="s">
        <v>12</v>
      </c>
      <c r="D111" t="s">
        <v>13</v>
      </c>
      <c r="E111" s="3">
        <v>120</v>
      </c>
      <c r="F111" s="4">
        <v>44081</v>
      </c>
      <c r="G111" s="2" t="s">
        <v>10</v>
      </c>
      <c r="L111">
        <v>407</v>
      </c>
      <c r="M111" t="str">
        <v>DESARROLLO</v>
      </c>
      <c r="N111" t="str">
        <v>CLIENTE-0007</v>
      </c>
      <c r="O111" t="str">
        <v>BARCELONA</v>
      </c>
      <c r="P111">
        <v>150</v>
      </c>
      <c r="Q111">
        <v>44050</v>
      </c>
      <c r="R111" t="str">
        <v>SI</v>
      </c>
    </row>
    <row r="112" spans="1:18" x14ac:dyDescent="0.25">
      <c r="A112" s="2">
        <v>111</v>
      </c>
      <c r="B112" t="s">
        <v>7</v>
      </c>
      <c r="C112" t="s">
        <v>15</v>
      </c>
      <c r="D112" t="s">
        <v>13</v>
      </c>
      <c r="E112" s="3">
        <v>300</v>
      </c>
      <c r="F112" s="4">
        <v>44170</v>
      </c>
      <c r="G112" s="2" t="s">
        <v>26</v>
      </c>
      <c r="L112">
        <v>412</v>
      </c>
      <c r="M112" t="str">
        <v>CONSULTORIA</v>
      </c>
      <c r="N112" t="str">
        <v>CLIENTE-0005</v>
      </c>
      <c r="O112" t="str">
        <v>BARCELONA</v>
      </c>
      <c r="P112">
        <v>150</v>
      </c>
      <c r="Q112">
        <v>43808</v>
      </c>
      <c r="R112" t="str">
        <v>NO</v>
      </c>
    </row>
    <row r="113" spans="1:18" x14ac:dyDescent="0.25">
      <c r="A113" s="2">
        <v>112</v>
      </c>
      <c r="B113" t="s">
        <v>11</v>
      </c>
      <c r="C113" t="s">
        <v>17</v>
      </c>
      <c r="D113" t="s">
        <v>13</v>
      </c>
      <c r="E113" s="3">
        <v>350</v>
      </c>
      <c r="F113" s="4">
        <v>43967</v>
      </c>
      <c r="G113" s="2" t="s">
        <v>26</v>
      </c>
      <c r="L113">
        <v>418</v>
      </c>
      <c r="M113" t="str">
        <v>FORMACION</v>
      </c>
      <c r="N113" t="str">
        <v>CLIENTE-0010</v>
      </c>
      <c r="O113" t="str">
        <v>MADRID</v>
      </c>
      <c r="P113">
        <v>150</v>
      </c>
      <c r="Q113">
        <v>44242</v>
      </c>
      <c r="R113" t="str">
        <v>SI</v>
      </c>
    </row>
    <row r="114" spans="1:18" x14ac:dyDescent="0.25">
      <c r="A114" s="2">
        <v>113</v>
      </c>
      <c r="B114" t="s">
        <v>14</v>
      </c>
      <c r="C114" t="s">
        <v>21</v>
      </c>
      <c r="D114" t="s">
        <v>22</v>
      </c>
      <c r="E114" s="3">
        <v>300</v>
      </c>
      <c r="F114" s="4">
        <v>44384</v>
      </c>
      <c r="G114" s="2" t="s">
        <v>26</v>
      </c>
      <c r="L114">
        <v>447</v>
      </c>
      <c r="M114" t="str">
        <v>EQUIPOS</v>
      </c>
      <c r="N114" t="str">
        <v>CLIENTE-0002</v>
      </c>
      <c r="O114" t="str">
        <v>ALICANTE</v>
      </c>
      <c r="P114">
        <v>150</v>
      </c>
      <c r="Q114">
        <v>44086</v>
      </c>
      <c r="R114" t="str">
        <v>SI</v>
      </c>
    </row>
    <row r="115" spans="1:18" x14ac:dyDescent="0.25">
      <c r="A115" s="2">
        <v>114</v>
      </c>
      <c r="B115" t="s">
        <v>16</v>
      </c>
      <c r="C115" t="s">
        <v>23</v>
      </c>
      <c r="D115" t="s">
        <v>22</v>
      </c>
      <c r="E115" s="3">
        <v>120</v>
      </c>
      <c r="F115" s="4">
        <v>43752</v>
      </c>
      <c r="G115" s="2" t="s">
        <v>26</v>
      </c>
      <c r="L115">
        <v>453</v>
      </c>
      <c r="M115" t="str">
        <v>FORMACION</v>
      </c>
      <c r="N115" t="str">
        <v>CLIENTE-0008</v>
      </c>
      <c r="O115" t="str">
        <v>ALICANTE</v>
      </c>
      <c r="P115">
        <v>150</v>
      </c>
      <c r="Q115">
        <v>43865</v>
      </c>
      <c r="R115" t="str">
        <v>NO</v>
      </c>
    </row>
    <row r="116" spans="1:18" x14ac:dyDescent="0.25">
      <c r="A116" s="2">
        <v>115</v>
      </c>
      <c r="B116" t="s">
        <v>11</v>
      </c>
      <c r="C116" t="s">
        <v>24</v>
      </c>
      <c r="D116" t="s">
        <v>9</v>
      </c>
      <c r="E116" s="3">
        <v>150</v>
      </c>
      <c r="F116" s="4">
        <v>44007</v>
      </c>
      <c r="G116" s="2" t="s">
        <v>26</v>
      </c>
      <c r="L116">
        <v>470</v>
      </c>
      <c r="M116" t="str">
        <v>PROGRAMA</v>
      </c>
      <c r="N116" t="str">
        <v>CLIENTE-0005</v>
      </c>
      <c r="O116" t="str">
        <v>BARCELONA</v>
      </c>
      <c r="P116">
        <v>150</v>
      </c>
      <c r="Q116">
        <v>43956</v>
      </c>
      <c r="R116" t="str">
        <v>SI</v>
      </c>
    </row>
    <row r="117" spans="1:18" x14ac:dyDescent="0.25">
      <c r="A117" s="2">
        <v>116</v>
      </c>
      <c r="B117" t="s">
        <v>14</v>
      </c>
      <c r="C117" t="s">
        <v>8</v>
      </c>
      <c r="D117" t="s">
        <v>9</v>
      </c>
      <c r="E117" s="3">
        <v>8500</v>
      </c>
      <c r="F117" s="4">
        <v>44242</v>
      </c>
      <c r="G117" s="2" t="s">
        <v>26</v>
      </c>
      <c r="L117">
        <v>476</v>
      </c>
      <c r="M117" t="str">
        <v>PROGRAMA</v>
      </c>
      <c r="N117" t="str">
        <v>CLIENTE-0004</v>
      </c>
      <c r="O117" t="str">
        <v>MADRID</v>
      </c>
      <c r="P117">
        <v>150</v>
      </c>
      <c r="Q117">
        <v>43691</v>
      </c>
      <c r="R117" t="str">
        <v>SI</v>
      </c>
    </row>
    <row r="118" spans="1:18" x14ac:dyDescent="0.25">
      <c r="A118" s="2">
        <v>117</v>
      </c>
      <c r="B118" t="s">
        <v>16</v>
      </c>
      <c r="C118" t="s">
        <v>12</v>
      </c>
      <c r="D118" t="s">
        <v>13</v>
      </c>
      <c r="E118" s="3">
        <v>1200</v>
      </c>
      <c r="F118" s="4">
        <v>44012</v>
      </c>
      <c r="G118" s="2" t="s">
        <v>26</v>
      </c>
      <c r="L118">
        <v>481</v>
      </c>
      <c r="M118" t="str">
        <v>EQUIPOS</v>
      </c>
      <c r="N118" t="str">
        <v>CLIENTE-0004</v>
      </c>
      <c r="O118" t="str">
        <v>MADRID</v>
      </c>
      <c r="P118">
        <v>150</v>
      </c>
      <c r="Q118">
        <v>44012</v>
      </c>
      <c r="R118" t="str">
        <v>NO</v>
      </c>
    </row>
    <row r="119" spans="1:18" x14ac:dyDescent="0.25">
      <c r="A119" s="2">
        <v>118</v>
      </c>
      <c r="B119" t="s">
        <v>18</v>
      </c>
      <c r="C119" t="s">
        <v>12</v>
      </c>
      <c r="D119" t="s">
        <v>13</v>
      </c>
      <c r="E119" s="3">
        <v>300</v>
      </c>
      <c r="F119" s="4">
        <v>43811</v>
      </c>
      <c r="G119" s="2" t="s">
        <v>10</v>
      </c>
      <c r="L119">
        <v>487</v>
      </c>
      <c r="M119" t="str">
        <v>FORMACION</v>
      </c>
      <c r="N119" t="str">
        <v>CLIENTE-0009</v>
      </c>
      <c r="O119" t="str">
        <v>ALICANTE</v>
      </c>
      <c r="P119">
        <v>150</v>
      </c>
      <c r="Q119">
        <v>43785</v>
      </c>
      <c r="R119" t="str">
        <v>SI</v>
      </c>
    </row>
    <row r="120" spans="1:18" x14ac:dyDescent="0.25">
      <c r="A120" s="2">
        <v>119</v>
      </c>
      <c r="B120" t="s">
        <v>20</v>
      </c>
      <c r="C120" t="s">
        <v>15</v>
      </c>
      <c r="D120" t="s">
        <v>13</v>
      </c>
      <c r="E120" s="3">
        <v>200</v>
      </c>
      <c r="F120" s="4">
        <v>43745</v>
      </c>
      <c r="G120" s="2" t="s">
        <v>10</v>
      </c>
      <c r="L120">
        <v>516</v>
      </c>
      <c r="M120" t="str">
        <v>EQUIPOS</v>
      </c>
      <c r="N120" t="str">
        <v>CLIENTE-0006</v>
      </c>
      <c r="O120" t="str">
        <v>BARCELONA</v>
      </c>
      <c r="P120">
        <v>150</v>
      </c>
      <c r="Q120">
        <v>44145</v>
      </c>
      <c r="R120" t="str">
        <v>SI</v>
      </c>
    </row>
    <row r="121" spans="1:18" x14ac:dyDescent="0.25">
      <c r="A121" s="2">
        <v>120</v>
      </c>
      <c r="B121" t="s">
        <v>7</v>
      </c>
      <c r="C121" t="s">
        <v>17</v>
      </c>
      <c r="D121" t="s">
        <v>13</v>
      </c>
      <c r="E121" s="3">
        <v>150</v>
      </c>
      <c r="F121" s="4">
        <v>44133</v>
      </c>
      <c r="G121" s="2" t="s">
        <v>10</v>
      </c>
      <c r="L121">
        <v>522</v>
      </c>
      <c r="M121" t="str">
        <v>CONSULTORIA</v>
      </c>
      <c r="N121" t="str">
        <v>CLIENTE-0005</v>
      </c>
      <c r="O121" t="str">
        <v>BARCELONA</v>
      </c>
      <c r="P121">
        <v>150</v>
      </c>
      <c r="Q121">
        <v>43540</v>
      </c>
      <c r="R121" t="str">
        <v>SI</v>
      </c>
    </row>
    <row r="122" spans="1:18" x14ac:dyDescent="0.25">
      <c r="A122" s="2">
        <v>121</v>
      </c>
      <c r="B122" t="s">
        <v>11</v>
      </c>
      <c r="C122" t="s">
        <v>21</v>
      </c>
      <c r="D122" t="s">
        <v>22</v>
      </c>
      <c r="E122" s="3">
        <v>120</v>
      </c>
      <c r="F122" s="4">
        <v>44196</v>
      </c>
      <c r="G122" s="2" t="s">
        <v>10</v>
      </c>
      <c r="L122">
        <v>539</v>
      </c>
      <c r="M122" t="str">
        <v>DESARROLLO</v>
      </c>
      <c r="N122" t="str">
        <v>CLIENTE-0004</v>
      </c>
      <c r="O122" t="str">
        <v>MADRID</v>
      </c>
      <c r="P122">
        <v>150</v>
      </c>
      <c r="Q122">
        <v>44149</v>
      </c>
      <c r="R122" t="str">
        <v>NO</v>
      </c>
    </row>
    <row r="123" spans="1:18" x14ac:dyDescent="0.25">
      <c r="A123" s="2">
        <v>122</v>
      </c>
      <c r="B123" t="s">
        <v>14</v>
      </c>
      <c r="C123" t="s">
        <v>23</v>
      </c>
      <c r="D123" t="s">
        <v>22</v>
      </c>
      <c r="E123" s="3">
        <v>300</v>
      </c>
      <c r="F123" s="4">
        <v>43615</v>
      </c>
      <c r="G123" s="2" t="s">
        <v>10</v>
      </c>
      <c r="L123">
        <v>545</v>
      </c>
      <c r="M123" t="str">
        <v>DESARROLLO</v>
      </c>
      <c r="N123" t="str">
        <v>CLIENTE-0010</v>
      </c>
      <c r="O123" t="str">
        <v>MADRID</v>
      </c>
      <c r="P123">
        <v>150</v>
      </c>
      <c r="Q123">
        <v>44155</v>
      </c>
      <c r="R123" t="str">
        <v>SI</v>
      </c>
    </row>
    <row r="124" spans="1:18" x14ac:dyDescent="0.25">
      <c r="A124" s="2">
        <v>123</v>
      </c>
      <c r="B124" t="s">
        <v>20</v>
      </c>
      <c r="C124" t="s">
        <v>24</v>
      </c>
      <c r="D124" t="s">
        <v>9</v>
      </c>
      <c r="E124" s="3">
        <v>350</v>
      </c>
      <c r="F124" s="4">
        <v>44524</v>
      </c>
      <c r="G124" s="2" t="s">
        <v>10</v>
      </c>
      <c r="L124">
        <v>550</v>
      </c>
      <c r="M124" t="str">
        <v>CONSULTORIA</v>
      </c>
      <c r="N124" t="str">
        <v>CLIENTE-0007</v>
      </c>
      <c r="O124" t="str">
        <v>BARCELONA</v>
      </c>
      <c r="P124">
        <v>150</v>
      </c>
      <c r="Q124">
        <v>44178</v>
      </c>
      <c r="R124" t="str">
        <v>NO</v>
      </c>
    </row>
    <row r="125" spans="1:18" x14ac:dyDescent="0.25">
      <c r="A125" s="2">
        <v>124</v>
      </c>
      <c r="B125" t="s">
        <v>7</v>
      </c>
      <c r="C125" t="s">
        <v>25</v>
      </c>
      <c r="D125" t="s">
        <v>9</v>
      </c>
      <c r="E125" s="3">
        <v>300</v>
      </c>
      <c r="F125" s="4">
        <v>43639</v>
      </c>
      <c r="G125" s="2" t="s">
        <v>10</v>
      </c>
      <c r="L125">
        <v>556</v>
      </c>
      <c r="M125" t="str">
        <v>CONSULTORIA</v>
      </c>
      <c r="N125" t="str">
        <v>CLIENTE-0001</v>
      </c>
      <c r="O125" t="str">
        <v>MADRID</v>
      </c>
      <c r="P125">
        <v>150</v>
      </c>
      <c r="Q125">
        <v>43720</v>
      </c>
      <c r="R125" t="str">
        <v>SI</v>
      </c>
    </row>
    <row r="126" spans="1:18" x14ac:dyDescent="0.25">
      <c r="A126" s="2">
        <v>125</v>
      </c>
      <c r="B126" t="s">
        <v>11</v>
      </c>
      <c r="C126" t="s">
        <v>24</v>
      </c>
      <c r="D126" t="s">
        <v>9</v>
      </c>
      <c r="E126" s="3">
        <v>120</v>
      </c>
      <c r="F126" s="4">
        <v>43946</v>
      </c>
      <c r="G126" s="2" t="s">
        <v>10</v>
      </c>
      <c r="L126">
        <v>585</v>
      </c>
      <c r="M126" t="str">
        <v>CONSULTORIA</v>
      </c>
      <c r="N126" t="str">
        <v>CLIENTE-0010</v>
      </c>
      <c r="O126" t="str">
        <v>MADRID</v>
      </c>
      <c r="P126">
        <v>150</v>
      </c>
      <c r="Q126">
        <v>43917</v>
      </c>
      <c r="R126" t="str">
        <v>SI</v>
      </c>
    </row>
    <row r="127" spans="1:18" x14ac:dyDescent="0.25">
      <c r="A127" s="2">
        <v>126</v>
      </c>
      <c r="B127" t="s">
        <v>14</v>
      </c>
      <c r="C127" t="s">
        <v>25</v>
      </c>
      <c r="D127" t="s">
        <v>9</v>
      </c>
      <c r="E127" s="3">
        <v>150</v>
      </c>
      <c r="F127" s="4">
        <v>43470</v>
      </c>
      <c r="G127" s="2" t="s">
        <v>10</v>
      </c>
      <c r="L127">
        <v>591</v>
      </c>
      <c r="M127" t="str">
        <v>CONSULTORIA</v>
      </c>
      <c r="N127" t="str">
        <v>CLIENTE-0008</v>
      </c>
      <c r="O127" t="str">
        <v>ALICANTE</v>
      </c>
      <c r="P127">
        <v>150</v>
      </c>
      <c r="Q127">
        <v>43872</v>
      </c>
      <c r="R127" t="str">
        <v>SI</v>
      </c>
    </row>
    <row r="128" spans="1:18" x14ac:dyDescent="0.25">
      <c r="A128" s="2">
        <v>127</v>
      </c>
      <c r="B128" t="s">
        <v>16</v>
      </c>
      <c r="C128" t="s">
        <v>27</v>
      </c>
      <c r="D128" t="s">
        <v>22</v>
      </c>
      <c r="E128" s="3">
        <v>1200</v>
      </c>
      <c r="F128" s="4">
        <v>43888</v>
      </c>
      <c r="G128" s="2" t="s">
        <v>10</v>
      </c>
      <c r="L128">
        <v>608</v>
      </c>
      <c r="M128" t="str">
        <v>PROGRAMA</v>
      </c>
      <c r="N128" t="str">
        <v>CLIENTE-0006</v>
      </c>
      <c r="O128" t="str">
        <v>BARCELONA</v>
      </c>
      <c r="P128">
        <v>150</v>
      </c>
      <c r="Q128">
        <v>43497</v>
      </c>
      <c r="R128" t="str">
        <v>NO</v>
      </c>
    </row>
    <row r="129" spans="1:18" x14ac:dyDescent="0.25">
      <c r="A129" s="2">
        <v>128</v>
      </c>
      <c r="B129" t="s">
        <v>18</v>
      </c>
      <c r="C129" t="s">
        <v>19</v>
      </c>
      <c r="D129" t="s">
        <v>9</v>
      </c>
      <c r="E129" s="3">
        <v>800</v>
      </c>
      <c r="F129" s="4">
        <v>44379</v>
      </c>
      <c r="G129" s="2" t="s">
        <v>10</v>
      </c>
      <c r="L129">
        <v>614</v>
      </c>
      <c r="M129" t="str">
        <v>CONSULTORIA</v>
      </c>
      <c r="N129" t="str">
        <v>CLIENTE-0006</v>
      </c>
      <c r="O129" t="str">
        <v>BARCELONA</v>
      </c>
      <c r="P129">
        <v>150</v>
      </c>
      <c r="Q129">
        <v>43845</v>
      </c>
      <c r="R129" t="str">
        <v>SI</v>
      </c>
    </row>
    <row r="130" spans="1:18" x14ac:dyDescent="0.25">
      <c r="A130" s="2">
        <v>129</v>
      </c>
      <c r="B130" t="s">
        <v>20</v>
      </c>
      <c r="C130" t="s">
        <v>8</v>
      </c>
      <c r="D130" t="s">
        <v>9</v>
      </c>
      <c r="E130" s="3">
        <v>750</v>
      </c>
      <c r="F130" s="4">
        <v>43664</v>
      </c>
      <c r="G130" s="2" t="s">
        <v>10</v>
      </c>
      <c r="L130">
        <v>619</v>
      </c>
      <c r="M130" t="str">
        <v>FORMACION</v>
      </c>
      <c r="N130" t="str">
        <v>CLIENTE-0001</v>
      </c>
      <c r="O130" t="str">
        <v>MADRID</v>
      </c>
      <c r="P130">
        <v>150</v>
      </c>
      <c r="Q130">
        <v>44008</v>
      </c>
      <c r="R130" t="str">
        <v>NO</v>
      </c>
    </row>
    <row r="131" spans="1:18" x14ac:dyDescent="0.25">
      <c r="A131" s="2">
        <v>130</v>
      </c>
      <c r="B131" t="s">
        <v>7</v>
      </c>
      <c r="C131" t="s">
        <v>12</v>
      </c>
      <c r="D131" t="s">
        <v>13</v>
      </c>
      <c r="E131" s="3">
        <v>4500</v>
      </c>
      <c r="F131" s="4">
        <v>44173</v>
      </c>
      <c r="G131" s="2" t="s">
        <v>10</v>
      </c>
      <c r="L131">
        <v>625</v>
      </c>
      <c r="M131" t="str">
        <v>FORMACION</v>
      </c>
      <c r="N131" t="str">
        <v>CLIENTE-0005</v>
      </c>
      <c r="O131" t="str">
        <v>BARCELONA</v>
      </c>
      <c r="P131">
        <v>150</v>
      </c>
      <c r="Q131">
        <v>43591</v>
      </c>
      <c r="R131" t="str">
        <v>SI</v>
      </c>
    </row>
    <row r="132" spans="1:18" x14ac:dyDescent="0.25">
      <c r="A132" s="2">
        <v>131</v>
      </c>
      <c r="B132" t="s">
        <v>11</v>
      </c>
      <c r="C132" t="s">
        <v>15</v>
      </c>
      <c r="D132" t="s">
        <v>13</v>
      </c>
      <c r="E132" s="3">
        <v>500</v>
      </c>
      <c r="F132" s="4">
        <v>43918</v>
      </c>
      <c r="G132" s="2" t="s">
        <v>10</v>
      </c>
      <c r="L132">
        <v>635</v>
      </c>
      <c r="M132" t="str">
        <v>EQUIPOS</v>
      </c>
      <c r="N132" t="str">
        <v>CLIENTE-0007</v>
      </c>
      <c r="O132" t="str">
        <v>BARCELONA</v>
      </c>
      <c r="P132">
        <v>150</v>
      </c>
      <c r="Q132">
        <v>44359</v>
      </c>
      <c r="R132" t="str">
        <v>SI</v>
      </c>
    </row>
    <row r="133" spans="1:18" x14ac:dyDescent="0.25">
      <c r="A133" s="2">
        <v>132</v>
      </c>
      <c r="B133" t="s">
        <v>14</v>
      </c>
      <c r="C133" t="s">
        <v>17</v>
      </c>
      <c r="D133" t="s">
        <v>13</v>
      </c>
      <c r="E133" s="3">
        <v>750</v>
      </c>
      <c r="F133" s="4">
        <v>44391</v>
      </c>
      <c r="G133" s="2" t="s">
        <v>10</v>
      </c>
      <c r="L133">
        <v>652</v>
      </c>
      <c r="M133" t="str">
        <v>PROGRAMA</v>
      </c>
      <c r="N133" t="str">
        <v>CLIENTE-0010</v>
      </c>
      <c r="O133" t="str">
        <v>MADRID</v>
      </c>
      <c r="P133">
        <v>150</v>
      </c>
      <c r="Q133">
        <v>43789</v>
      </c>
      <c r="R133" t="str">
        <v>SI</v>
      </c>
    </row>
    <row r="134" spans="1:18" x14ac:dyDescent="0.25">
      <c r="A134" s="2">
        <v>133</v>
      </c>
      <c r="B134" t="s">
        <v>16</v>
      </c>
      <c r="C134" t="s">
        <v>21</v>
      </c>
      <c r="D134" t="s">
        <v>22</v>
      </c>
      <c r="E134" s="3">
        <v>950</v>
      </c>
      <c r="F134" s="4">
        <v>44255</v>
      </c>
      <c r="G134" s="2" t="s">
        <v>10</v>
      </c>
      <c r="L134">
        <v>658</v>
      </c>
      <c r="M134" t="str">
        <v>PROGRAMA</v>
      </c>
      <c r="N134" t="str">
        <v>CLIENTE-0004</v>
      </c>
      <c r="O134" t="str">
        <v>MADRID</v>
      </c>
      <c r="P134">
        <v>150</v>
      </c>
      <c r="Q134">
        <v>43830</v>
      </c>
      <c r="R134" t="str">
        <v>SI</v>
      </c>
    </row>
    <row r="135" spans="1:18" x14ac:dyDescent="0.25">
      <c r="A135" s="2">
        <v>134</v>
      </c>
      <c r="B135" t="s">
        <v>18</v>
      </c>
      <c r="C135" t="s">
        <v>23</v>
      </c>
      <c r="D135" t="s">
        <v>22</v>
      </c>
      <c r="E135" s="3">
        <v>680</v>
      </c>
      <c r="F135" s="4">
        <v>43521</v>
      </c>
      <c r="G135" s="2" t="s">
        <v>10</v>
      </c>
      <c r="L135">
        <v>663</v>
      </c>
      <c r="M135" t="str">
        <v>EQUIPOS</v>
      </c>
      <c r="N135" t="str">
        <v>CLIENTE-0008</v>
      </c>
      <c r="O135" t="str">
        <v>ALICANTE</v>
      </c>
      <c r="P135">
        <v>150</v>
      </c>
      <c r="Q135">
        <v>44433</v>
      </c>
      <c r="R135" t="str">
        <v>SI</v>
      </c>
    </row>
    <row r="136" spans="1:18" x14ac:dyDescent="0.25">
      <c r="A136" s="2">
        <v>135</v>
      </c>
      <c r="B136" t="s">
        <v>20</v>
      </c>
      <c r="C136" t="s">
        <v>24</v>
      </c>
      <c r="D136" t="s">
        <v>9</v>
      </c>
      <c r="E136" s="3">
        <v>950</v>
      </c>
      <c r="F136" s="4">
        <v>44331</v>
      </c>
      <c r="G136" s="2" t="s">
        <v>10</v>
      </c>
      <c r="L136">
        <v>671</v>
      </c>
      <c r="M136" t="str">
        <v>PROGRAMA</v>
      </c>
      <c r="N136" t="str">
        <v>CLIENTE-0004</v>
      </c>
      <c r="O136" t="str">
        <v>MADRID</v>
      </c>
      <c r="P136">
        <v>150</v>
      </c>
      <c r="Q136">
        <v>44376</v>
      </c>
      <c r="R136" t="str">
        <v>NO</v>
      </c>
    </row>
    <row r="137" spans="1:18" x14ac:dyDescent="0.25">
      <c r="A137" s="2">
        <v>136</v>
      </c>
      <c r="B137" t="s">
        <v>7</v>
      </c>
      <c r="C137" t="s">
        <v>8</v>
      </c>
      <c r="D137" t="s">
        <v>9</v>
      </c>
      <c r="E137" s="3">
        <v>1500</v>
      </c>
      <c r="F137" s="4">
        <v>44356</v>
      </c>
      <c r="G137" s="2" t="s">
        <v>10</v>
      </c>
      <c r="L137">
        <v>677</v>
      </c>
      <c r="M137" t="str">
        <v>CONSULTORIA</v>
      </c>
      <c r="N137" t="str">
        <v>CLIENTE-0010</v>
      </c>
      <c r="O137" t="str">
        <v>MADRID</v>
      </c>
      <c r="P137">
        <v>150</v>
      </c>
      <c r="Q137">
        <v>43742</v>
      </c>
      <c r="R137" t="str">
        <v>NO</v>
      </c>
    </row>
    <row r="138" spans="1:18" x14ac:dyDescent="0.25">
      <c r="A138" s="2">
        <v>137</v>
      </c>
      <c r="B138" t="s">
        <v>11</v>
      </c>
      <c r="C138" t="s">
        <v>12</v>
      </c>
      <c r="D138" t="s">
        <v>13</v>
      </c>
      <c r="E138" s="3">
        <v>5000</v>
      </c>
      <c r="F138" s="4">
        <v>44195</v>
      </c>
      <c r="G138" s="2" t="s">
        <v>10</v>
      </c>
      <c r="L138">
        <v>694</v>
      </c>
      <c r="M138" t="str">
        <v>FORMACION</v>
      </c>
      <c r="N138" t="str">
        <v>CLIENTE-0002</v>
      </c>
      <c r="O138" t="str">
        <v>ALICANTE</v>
      </c>
      <c r="P138">
        <v>150</v>
      </c>
      <c r="Q138">
        <v>44460</v>
      </c>
      <c r="R138" t="str">
        <v>SI</v>
      </c>
    </row>
    <row r="139" spans="1:18" x14ac:dyDescent="0.25">
      <c r="A139" s="2">
        <v>138</v>
      </c>
      <c r="B139" t="s">
        <v>14</v>
      </c>
      <c r="C139" t="s">
        <v>15</v>
      </c>
      <c r="D139" t="s">
        <v>13</v>
      </c>
      <c r="E139" s="3">
        <v>6500</v>
      </c>
      <c r="F139" s="4">
        <v>43653</v>
      </c>
      <c r="G139" s="2" t="s">
        <v>10</v>
      </c>
      <c r="L139">
        <v>700</v>
      </c>
      <c r="M139" t="str">
        <v>FORMACION</v>
      </c>
      <c r="N139" t="str">
        <v>CLIENTE-0008</v>
      </c>
      <c r="O139" t="str">
        <v>ALICANTE</v>
      </c>
      <c r="P139">
        <v>150</v>
      </c>
      <c r="Q139">
        <v>43469</v>
      </c>
      <c r="R139" t="str">
        <v>NO</v>
      </c>
    </row>
    <row r="140" spans="1:18" x14ac:dyDescent="0.25">
      <c r="A140" s="2">
        <v>139</v>
      </c>
      <c r="B140" t="s">
        <v>16</v>
      </c>
      <c r="C140" t="s">
        <v>17</v>
      </c>
      <c r="D140" t="s">
        <v>13</v>
      </c>
      <c r="E140" s="3">
        <v>1200</v>
      </c>
      <c r="F140" s="4">
        <v>44516</v>
      </c>
      <c r="G140" s="2" t="s">
        <v>26</v>
      </c>
      <c r="L140">
        <v>705</v>
      </c>
      <c r="M140" t="str">
        <v>PROGRAMA</v>
      </c>
      <c r="N140" t="str">
        <v>CLIENTE-0005</v>
      </c>
      <c r="O140" t="str">
        <v>BARCELONA</v>
      </c>
      <c r="P140">
        <v>150</v>
      </c>
      <c r="Q140">
        <v>44283</v>
      </c>
      <c r="R140" t="str">
        <v>NO</v>
      </c>
    </row>
    <row r="141" spans="1:18" x14ac:dyDescent="0.25">
      <c r="A141" s="2">
        <v>140</v>
      </c>
      <c r="B141" t="s">
        <v>18</v>
      </c>
      <c r="C141" t="s">
        <v>19</v>
      </c>
      <c r="D141" t="s">
        <v>9</v>
      </c>
      <c r="E141" s="3">
        <v>800</v>
      </c>
      <c r="F141" s="4">
        <v>44199</v>
      </c>
      <c r="G141" s="2" t="s">
        <v>26</v>
      </c>
      <c r="L141">
        <v>711</v>
      </c>
      <c r="M141" t="str">
        <v>CONSULTORIA</v>
      </c>
      <c r="N141" t="str">
        <v>CLIENTE-0001</v>
      </c>
      <c r="O141" t="str">
        <v>MADRID</v>
      </c>
      <c r="P141">
        <v>150</v>
      </c>
      <c r="Q141">
        <v>43945</v>
      </c>
      <c r="R141" t="str">
        <v>SI</v>
      </c>
    </row>
    <row r="142" spans="1:18" x14ac:dyDescent="0.25">
      <c r="A142" s="2">
        <v>141</v>
      </c>
      <c r="B142" t="s">
        <v>20</v>
      </c>
      <c r="C142" t="s">
        <v>8</v>
      </c>
      <c r="D142" t="s">
        <v>9</v>
      </c>
      <c r="E142" s="3">
        <v>750</v>
      </c>
      <c r="F142" s="4">
        <v>43712</v>
      </c>
      <c r="G142" s="2" t="s">
        <v>26</v>
      </c>
      <c r="L142">
        <v>736</v>
      </c>
      <c r="M142" t="str">
        <v>CONSULTORIA</v>
      </c>
      <c r="N142" t="str">
        <v>CLIENTE-0005</v>
      </c>
      <c r="O142" t="str">
        <v>BARCELONA</v>
      </c>
      <c r="P142">
        <v>150</v>
      </c>
      <c r="Q142">
        <v>44110</v>
      </c>
      <c r="R142" t="str">
        <v>SI</v>
      </c>
    </row>
    <row r="143" spans="1:18" x14ac:dyDescent="0.25">
      <c r="A143" s="2">
        <v>142</v>
      </c>
      <c r="B143" t="s">
        <v>7</v>
      </c>
      <c r="C143" t="s">
        <v>12</v>
      </c>
      <c r="D143" t="s">
        <v>13</v>
      </c>
      <c r="E143" s="3">
        <v>4500</v>
      </c>
      <c r="F143" s="4">
        <v>44254</v>
      </c>
      <c r="G143" s="2" t="s">
        <v>26</v>
      </c>
      <c r="L143">
        <v>742</v>
      </c>
      <c r="M143" t="str">
        <v>CONSULTORIA</v>
      </c>
      <c r="N143" t="str">
        <v>CLIENTE-0007</v>
      </c>
      <c r="O143" t="str">
        <v>BARCELONA</v>
      </c>
      <c r="P143">
        <v>150</v>
      </c>
      <c r="Q143">
        <v>44335</v>
      </c>
      <c r="R143" t="str">
        <v>NO</v>
      </c>
    </row>
    <row r="144" spans="1:18" x14ac:dyDescent="0.25">
      <c r="A144" s="2">
        <v>143</v>
      </c>
      <c r="B144" t="s">
        <v>11</v>
      </c>
      <c r="C144" t="s">
        <v>12</v>
      </c>
      <c r="D144" t="s">
        <v>13</v>
      </c>
      <c r="E144" s="3">
        <v>500</v>
      </c>
      <c r="F144" s="4">
        <v>43906</v>
      </c>
      <c r="G144" s="2" t="s">
        <v>26</v>
      </c>
      <c r="L144">
        <v>759</v>
      </c>
      <c r="M144" t="str">
        <v>PROGRAMA</v>
      </c>
      <c r="N144" t="str">
        <v>CLIENTE-0006</v>
      </c>
      <c r="O144" t="str">
        <v>BARCELONA</v>
      </c>
      <c r="P144">
        <v>150</v>
      </c>
      <c r="Q144">
        <v>43517</v>
      </c>
      <c r="R144" t="str">
        <v>SI</v>
      </c>
    </row>
    <row r="145" spans="1:18" x14ac:dyDescent="0.25">
      <c r="A145" s="2">
        <v>144</v>
      </c>
      <c r="B145" t="s">
        <v>14</v>
      </c>
      <c r="C145" t="s">
        <v>15</v>
      </c>
      <c r="D145" t="s">
        <v>13</v>
      </c>
      <c r="E145" s="3">
        <v>750</v>
      </c>
      <c r="F145" s="4">
        <v>44112</v>
      </c>
      <c r="G145" s="2" t="s">
        <v>26</v>
      </c>
      <c r="L145">
        <v>765</v>
      </c>
      <c r="M145" t="str">
        <v>CONSULTORIA</v>
      </c>
      <c r="N145" t="str">
        <v>CLIENTE-0005</v>
      </c>
      <c r="O145" t="str">
        <v>BARCELONA</v>
      </c>
      <c r="P145">
        <v>150</v>
      </c>
      <c r="Q145">
        <v>44328</v>
      </c>
      <c r="R145" t="str">
        <v>SI</v>
      </c>
    </row>
    <row r="146" spans="1:18" x14ac:dyDescent="0.25">
      <c r="A146" s="2">
        <v>145</v>
      </c>
      <c r="B146" t="s">
        <v>16</v>
      </c>
      <c r="C146" t="s">
        <v>17</v>
      </c>
      <c r="D146" t="s">
        <v>13</v>
      </c>
      <c r="E146" s="3">
        <v>950</v>
      </c>
      <c r="F146" s="4">
        <v>44317</v>
      </c>
      <c r="G146" s="2" t="s">
        <v>26</v>
      </c>
      <c r="L146">
        <v>770</v>
      </c>
      <c r="M146" t="str">
        <v>FORMACION</v>
      </c>
      <c r="N146" t="str">
        <v>CLIENTE-0009</v>
      </c>
      <c r="O146" t="str">
        <v>ALICANTE</v>
      </c>
      <c r="P146">
        <v>150</v>
      </c>
      <c r="Q146">
        <v>43665</v>
      </c>
      <c r="R146" t="str">
        <v>SI</v>
      </c>
    </row>
    <row r="147" spans="1:18" x14ac:dyDescent="0.25">
      <c r="A147" s="2">
        <v>146</v>
      </c>
      <c r="B147" t="s">
        <v>18</v>
      </c>
      <c r="C147" t="s">
        <v>21</v>
      </c>
      <c r="D147" t="s">
        <v>22</v>
      </c>
      <c r="E147" s="3">
        <v>680</v>
      </c>
      <c r="F147" s="4">
        <v>44550</v>
      </c>
      <c r="G147" s="2" t="s">
        <v>10</v>
      </c>
      <c r="L147">
        <v>776</v>
      </c>
      <c r="M147" t="str">
        <v>FORMACION</v>
      </c>
      <c r="N147" t="str">
        <v>CLIENTE-0003</v>
      </c>
      <c r="O147" t="str">
        <v>MADRID</v>
      </c>
      <c r="P147">
        <v>150</v>
      </c>
      <c r="Q147">
        <v>43920</v>
      </c>
      <c r="R147" t="str">
        <v>NO</v>
      </c>
    </row>
    <row r="148" spans="1:18" x14ac:dyDescent="0.25">
      <c r="A148" s="2">
        <v>147</v>
      </c>
      <c r="B148" t="s">
        <v>20</v>
      </c>
      <c r="C148" t="s">
        <v>23</v>
      </c>
      <c r="D148" t="s">
        <v>22</v>
      </c>
      <c r="E148" s="3">
        <v>950</v>
      </c>
      <c r="F148" s="4">
        <v>43820</v>
      </c>
      <c r="G148" s="2" t="s">
        <v>10</v>
      </c>
      <c r="L148">
        <v>16</v>
      </c>
      <c r="M148" t="str">
        <v>CONSULTORIA</v>
      </c>
      <c r="N148" t="str">
        <v>CLIENTE-0001</v>
      </c>
      <c r="O148" t="str">
        <v>MADRID</v>
      </c>
      <c r="P148">
        <v>200</v>
      </c>
      <c r="Q148">
        <v>43873</v>
      </c>
      <c r="R148" t="str">
        <v>NO</v>
      </c>
    </row>
    <row r="149" spans="1:18" x14ac:dyDescent="0.25">
      <c r="A149" s="2">
        <v>148</v>
      </c>
      <c r="B149" t="s">
        <v>7</v>
      </c>
      <c r="C149" t="s">
        <v>24</v>
      </c>
      <c r="D149" t="s">
        <v>9</v>
      </c>
      <c r="E149" s="3">
        <v>1500</v>
      </c>
      <c r="F149" s="4">
        <v>44233</v>
      </c>
      <c r="G149" s="2" t="s">
        <v>10</v>
      </c>
      <c r="L149">
        <v>39</v>
      </c>
      <c r="M149" t="str">
        <v>PROGRAMA</v>
      </c>
      <c r="N149" t="str">
        <v>CLIENTE-0004</v>
      </c>
      <c r="O149" t="str">
        <v>MADRID</v>
      </c>
      <c r="P149">
        <v>200</v>
      </c>
      <c r="Q149">
        <v>44013</v>
      </c>
      <c r="R149" t="str">
        <v>SI</v>
      </c>
    </row>
    <row r="150" spans="1:18" x14ac:dyDescent="0.25">
      <c r="A150" s="2">
        <v>149</v>
      </c>
      <c r="B150" t="s">
        <v>11</v>
      </c>
      <c r="C150" t="s">
        <v>25</v>
      </c>
      <c r="D150" t="s">
        <v>9</v>
      </c>
      <c r="E150" s="3">
        <v>5000</v>
      </c>
      <c r="F150" s="4">
        <v>44273</v>
      </c>
      <c r="G150" s="2" t="s">
        <v>10</v>
      </c>
      <c r="L150">
        <v>50</v>
      </c>
      <c r="M150" t="str">
        <v>EQUIPOS</v>
      </c>
      <c r="N150" t="str">
        <v>CLIENTE-0003</v>
      </c>
      <c r="O150" t="str">
        <v>MADRID</v>
      </c>
      <c r="P150">
        <v>200</v>
      </c>
      <c r="Q150">
        <v>43934</v>
      </c>
      <c r="R150" t="str">
        <v>SI</v>
      </c>
    </row>
    <row r="151" spans="1:18" x14ac:dyDescent="0.25">
      <c r="A151" s="2">
        <v>150</v>
      </c>
      <c r="B151" t="s">
        <v>14</v>
      </c>
      <c r="C151" t="s">
        <v>24</v>
      </c>
      <c r="D151" t="s">
        <v>9</v>
      </c>
      <c r="E151" s="3">
        <v>6500</v>
      </c>
      <c r="F151" s="4">
        <v>43645</v>
      </c>
      <c r="G151" s="2" t="s">
        <v>10</v>
      </c>
      <c r="L151">
        <v>85</v>
      </c>
      <c r="M151" t="str">
        <v>PROGRAMA</v>
      </c>
      <c r="N151" t="str">
        <v>CLIENTE-0005</v>
      </c>
      <c r="O151" t="str">
        <v>BARCELONA</v>
      </c>
      <c r="P151">
        <v>200</v>
      </c>
      <c r="Q151">
        <v>43518</v>
      </c>
      <c r="R151" t="str">
        <v>NO</v>
      </c>
    </row>
    <row r="152" spans="1:18" x14ac:dyDescent="0.25">
      <c r="A152" s="2">
        <v>151</v>
      </c>
      <c r="B152" t="s">
        <v>16</v>
      </c>
      <c r="C152" t="s">
        <v>25</v>
      </c>
      <c r="D152" t="s">
        <v>9</v>
      </c>
      <c r="E152" s="3">
        <v>8500</v>
      </c>
      <c r="F152" s="4">
        <v>44140</v>
      </c>
      <c r="G152" s="2" t="s">
        <v>10</v>
      </c>
      <c r="L152">
        <v>108</v>
      </c>
      <c r="M152" t="str">
        <v>PROGRAMA</v>
      </c>
      <c r="N152" t="str">
        <v>CLIENTE-0003</v>
      </c>
      <c r="O152" t="str">
        <v>MADRID</v>
      </c>
      <c r="P152">
        <v>200</v>
      </c>
      <c r="Q152">
        <v>44183</v>
      </c>
      <c r="R152" t="str">
        <v>SI</v>
      </c>
    </row>
    <row r="153" spans="1:18" x14ac:dyDescent="0.25">
      <c r="A153" s="2">
        <v>152</v>
      </c>
      <c r="B153" t="s">
        <v>18</v>
      </c>
      <c r="C153" t="s">
        <v>27</v>
      </c>
      <c r="D153" t="s">
        <v>22</v>
      </c>
      <c r="E153" s="3">
        <v>1200</v>
      </c>
      <c r="F153" s="4">
        <v>43544</v>
      </c>
      <c r="G153" s="2" t="s">
        <v>10</v>
      </c>
      <c r="L153">
        <v>119</v>
      </c>
      <c r="M153" t="str">
        <v>CONSULTORIA</v>
      </c>
      <c r="N153" t="str">
        <v>CLIENTE-0006</v>
      </c>
      <c r="O153" t="str">
        <v>BARCELONA</v>
      </c>
      <c r="P153">
        <v>200</v>
      </c>
      <c r="Q153">
        <v>43745</v>
      </c>
      <c r="R153" t="str">
        <v>SI</v>
      </c>
    </row>
    <row r="154" spans="1:18" x14ac:dyDescent="0.25">
      <c r="A154" s="2">
        <v>153</v>
      </c>
      <c r="B154" t="s">
        <v>20</v>
      </c>
      <c r="C154" t="s">
        <v>19</v>
      </c>
      <c r="D154" t="s">
        <v>9</v>
      </c>
      <c r="E154" s="3">
        <v>300</v>
      </c>
      <c r="F154" s="4">
        <v>43708</v>
      </c>
      <c r="G154" s="2" t="s">
        <v>26</v>
      </c>
      <c r="L154">
        <v>154</v>
      </c>
      <c r="M154" t="str">
        <v>DESARROLLO</v>
      </c>
      <c r="N154" t="str">
        <v>CLIENTE-0004</v>
      </c>
      <c r="O154" t="str">
        <v>MADRID</v>
      </c>
      <c r="P154">
        <v>200</v>
      </c>
      <c r="Q154">
        <v>44069</v>
      </c>
      <c r="R154" t="str">
        <v>NO</v>
      </c>
    </row>
    <row r="155" spans="1:18" x14ac:dyDescent="0.25">
      <c r="A155" s="2">
        <v>154</v>
      </c>
      <c r="B155" t="s">
        <v>7</v>
      </c>
      <c r="C155" t="s">
        <v>8</v>
      </c>
      <c r="D155" t="s">
        <v>9</v>
      </c>
      <c r="E155" s="3">
        <v>200</v>
      </c>
      <c r="F155" s="4">
        <v>44069</v>
      </c>
      <c r="G155" s="2" t="s">
        <v>26</v>
      </c>
      <c r="L155">
        <v>177</v>
      </c>
      <c r="M155" t="str">
        <v>DESARROLLO</v>
      </c>
      <c r="N155" t="str">
        <v>CLIENTE-0007</v>
      </c>
      <c r="O155" t="str">
        <v>BARCELONA</v>
      </c>
      <c r="P155">
        <v>200</v>
      </c>
      <c r="Q155">
        <v>44082</v>
      </c>
      <c r="R155" t="str">
        <v>SI</v>
      </c>
    </row>
    <row r="156" spans="1:18" x14ac:dyDescent="0.25">
      <c r="A156" s="2">
        <v>155</v>
      </c>
      <c r="B156" t="s">
        <v>11</v>
      </c>
      <c r="C156" t="s">
        <v>12</v>
      </c>
      <c r="D156" t="s">
        <v>13</v>
      </c>
      <c r="E156" s="3">
        <v>150</v>
      </c>
      <c r="F156" s="4">
        <v>44222</v>
      </c>
      <c r="G156" s="2" t="s">
        <v>26</v>
      </c>
      <c r="L156">
        <v>188</v>
      </c>
      <c r="M156" t="str">
        <v>CONSULTORIA</v>
      </c>
      <c r="N156" t="str">
        <v>CLIENTE-0010</v>
      </c>
      <c r="O156" t="str">
        <v>MADRID</v>
      </c>
      <c r="P156">
        <v>200</v>
      </c>
      <c r="Q156">
        <v>43561</v>
      </c>
      <c r="R156" t="str">
        <v>SI</v>
      </c>
    </row>
    <row r="157" spans="1:18" x14ac:dyDescent="0.25">
      <c r="A157" s="2">
        <v>156</v>
      </c>
      <c r="B157" t="s">
        <v>14</v>
      </c>
      <c r="C157" t="s">
        <v>15</v>
      </c>
      <c r="D157" t="s">
        <v>13</v>
      </c>
      <c r="E157" s="3">
        <v>120</v>
      </c>
      <c r="F157" s="4">
        <v>44443</v>
      </c>
      <c r="G157" s="2" t="s">
        <v>26</v>
      </c>
      <c r="L157">
        <v>223</v>
      </c>
      <c r="M157" t="str">
        <v>CONSULTORIA</v>
      </c>
      <c r="N157" t="str">
        <v>CLIENTE-0006</v>
      </c>
      <c r="O157" t="str">
        <v>BARCELONA</v>
      </c>
      <c r="P157">
        <v>200</v>
      </c>
      <c r="Q157">
        <v>44495</v>
      </c>
      <c r="R157" t="str">
        <v>NO</v>
      </c>
    </row>
    <row r="158" spans="1:18" x14ac:dyDescent="0.25">
      <c r="A158" s="2">
        <v>157</v>
      </c>
      <c r="B158" t="s">
        <v>20</v>
      </c>
      <c r="C158" t="s">
        <v>17</v>
      </c>
      <c r="D158" t="s">
        <v>13</v>
      </c>
      <c r="E158" s="3">
        <v>300</v>
      </c>
      <c r="F158" s="4">
        <v>43987</v>
      </c>
      <c r="G158" s="2" t="s">
        <v>26</v>
      </c>
      <c r="L158">
        <v>246</v>
      </c>
      <c r="M158" t="str">
        <v>DESARROLLO</v>
      </c>
      <c r="N158" t="str">
        <v>CLIENTE-0004</v>
      </c>
      <c r="O158" t="str">
        <v>MADRID</v>
      </c>
      <c r="P158">
        <v>200</v>
      </c>
      <c r="Q158">
        <v>43940</v>
      </c>
      <c r="R158" t="str">
        <v>SI</v>
      </c>
    </row>
    <row r="159" spans="1:18" x14ac:dyDescent="0.25">
      <c r="A159" s="2">
        <v>158</v>
      </c>
      <c r="B159" t="s">
        <v>7</v>
      </c>
      <c r="C159" t="s">
        <v>21</v>
      </c>
      <c r="D159" t="s">
        <v>22</v>
      </c>
      <c r="E159" s="3">
        <v>350</v>
      </c>
      <c r="F159" s="4">
        <v>44283</v>
      </c>
      <c r="G159" s="2" t="s">
        <v>26</v>
      </c>
      <c r="L159">
        <v>257</v>
      </c>
      <c r="M159" t="str">
        <v>CONSULTORIA</v>
      </c>
      <c r="N159" t="str">
        <v>CLIENTE-0002</v>
      </c>
      <c r="O159" t="str">
        <v>ALICANTE</v>
      </c>
      <c r="P159">
        <v>200</v>
      </c>
      <c r="Q159">
        <v>44488</v>
      </c>
      <c r="R159" t="str">
        <v>SI</v>
      </c>
    </row>
    <row r="160" spans="1:18" x14ac:dyDescent="0.25">
      <c r="A160" s="2">
        <v>159</v>
      </c>
      <c r="B160" t="s">
        <v>11</v>
      </c>
      <c r="C160" t="s">
        <v>23</v>
      </c>
      <c r="D160" t="s">
        <v>22</v>
      </c>
      <c r="E160" s="3">
        <v>300</v>
      </c>
      <c r="F160" s="4">
        <v>43678</v>
      </c>
      <c r="G160" s="2" t="s">
        <v>10</v>
      </c>
      <c r="L160">
        <v>289</v>
      </c>
      <c r="M160" t="str">
        <v>EQUIPOS</v>
      </c>
      <c r="N160" t="str">
        <v>CLIENTE-0010</v>
      </c>
      <c r="O160" t="str">
        <v>MADRID</v>
      </c>
      <c r="P160">
        <v>200</v>
      </c>
      <c r="Q160">
        <v>43682</v>
      </c>
      <c r="R160" t="str">
        <v>SI</v>
      </c>
    </row>
    <row r="161" spans="1:18" x14ac:dyDescent="0.25">
      <c r="A161" s="2">
        <v>160</v>
      </c>
      <c r="B161" t="s">
        <v>14</v>
      </c>
      <c r="C161" t="s">
        <v>24</v>
      </c>
      <c r="D161" t="s">
        <v>9</v>
      </c>
      <c r="E161" s="3">
        <v>120</v>
      </c>
      <c r="F161" s="4">
        <v>43982</v>
      </c>
      <c r="G161" s="2" t="s">
        <v>10</v>
      </c>
      <c r="L161">
        <v>300</v>
      </c>
      <c r="M161" t="str">
        <v>DESARROLLO</v>
      </c>
      <c r="N161" t="str">
        <v>CLIENTE-0004</v>
      </c>
      <c r="O161" t="str">
        <v>MADRID</v>
      </c>
      <c r="P161">
        <v>200</v>
      </c>
      <c r="Q161">
        <v>43864</v>
      </c>
      <c r="R161" t="str">
        <v>SI</v>
      </c>
    </row>
    <row r="162" spans="1:18" x14ac:dyDescent="0.25">
      <c r="A162" s="2">
        <v>161</v>
      </c>
      <c r="B162" t="s">
        <v>16</v>
      </c>
      <c r="C162" t="s">
        <v>8</v>
      </c>
      <c r="D162" t="s">
        <v>9</v>
      </c>
      <c r="E162" s="3">
        <v>150</v>
      </c>
      <c r="F162" s="4">
        <v>43919</v>
      </c>
      <c r="G162" s="2" t="s">
        <v>10</v>
      </c>
      <c r="L162">
        <v>335</v>
      </c>
      <c r="M162" t="str">
        <v>PROYECTO</v>
      </c>
      <c r="N162" t="str">
        <v>CLIENTE-0006</v>
      </c>
      <c r="O162" t="str">
        <v>BARCELONA</v>
      </c>
      <c r="P162">
        <v>200</v>
      </c>
      <c r="Q162">
        <v>44190</v>
      </c>
      <c r="R162" t="str">
        <v>SI</v>
      </c>
    </row>
    <row r="163" spans="1:18" x14ac:dyDescent="0.25">
      <c r="A163" s="2">
        <v>162</v>
      </c>
      <c r="B163" t="s">
        <v>18</v>
      </c>
      <c r="C163" t="s">
        <v>12</v>
      </c>
      <c r="D163" t="s">
        <v>13</v>
      </c>
      <c r="E163" s="3">
        <v>1200</v>
      </c>
      <c r="F163" s="4">
        <v>44326</v>
      </c>
      <c r="G163" s="2" t="s">
        <v>10</v>
      </c>
      <c r="L163">
        <v>358</v>
      </c>
      <c r="M163" t="str">
        <v>PROYECTO</v>
      </c>
      <c r="N163" t="str">
        <v>CLIENTE-0004</v>
      </c>
      <c r="O163" t="str">
        <v>MADRID</v>
      </c>
      <c r="P163">
        <v>200</v>
      </c>
      <c r="Q163">
        <v>43572</v>
      </c>
      <c r="R163" t="str">
        <v>SI</v>
      </c>
    </row>
    <row r="164" spans="1:18" x14ac:dyDescent="0.25">
      <c r="A164" s="2">
        <v>163</v>
      </c>
      <c r="B164" t="s">
        <v>20</v>
      </c>
      <c r="C164" t="s">
        <v>12</v>
      </c>
      <c r="D164" t="s">
        <v>13</v>
      </c>
      <c r="E164" s="3">
        <v>800</v>
      </c>
      <c r="F164" s="4">
        <v>44076</v>
      </c>
      <c r="G164" s="2" t="s">
        <v>10</v>
      </c>
      <c r="L164">
        <v>369</v>
      </c>
      <c r="M164" t="str">
        <v>EQUIPOS</v>
      </c>
      <c r="N164" t="str">
        <v>CLIENTE-0007</v>
      </c>
      <c r="O164" t="str">
        <v>BARCELONA</v>
      </c>
      <c r="P164">
        <v>200</v>
      </c>
      <c r="Q164">
        <v>43931</v>
      </c>
      <c r="R164" t="str">
        <v>SI</v>
      </c>
    </row>
    <row r="165" spans="1:18" x14ac:dyDescent="0.25">
      <c r="A165" s="2">
        <v>164</v>
      </c>
      <c r="B165" t="s">
        <v>7</v>
      </c>
      <c r="C165" t="s">
        <v>15</v>
      </c>
      <c r="D165" t="s">
        <v>13</v>
      </c>
      <c r="E165" s="3">
        <v>750</v>
      </c>
      <c r="F165" s="4">
        <v>44452</v>
      </c>
      <c r="G165" s="2" t="s">
        <v>10</v>
      </c>
      <c r="L165">
        <v>377</v>
      </c>
      <c r="M165" t="str">
        <v>FORMACION</v>
      </c>
      <c r="N165" t="str">
        <v>CLIENTE-0003</v>
      </c>
      <c r="O165" t="str">
        <v>MADRID</v>
      </c>
      <c r="P165">
        <v>200</v>
      </c>
      <c r="Q165">
        <v>44553</v>
      </c>
      <c r="R165" t="str">
        <v>NO</v>
      </c>
    </row>
    <row r="166" spans="1:18" x14ac:dyDescent="0.25">
      <c r="A166" s="2">
        <v>165</v>
      </c>
      <c r="B166" t="s">
        <v>11</v>
      </c>
      <c r="C166" t="s">
        <v>17</v>
      </c>
      <c r="D166" t="s">
        <v>13</v>
      </c>
      <c r="E166" s="3">
        <v>4500</v>
      </c>
      <c r="F166" s="4">
        <v>44244</v>
      </c>
      <c r="G166" s="2" t="s">
        <v>10</v>
      </c>
      <c r="L166">
        <v>400</v>
      </c>
      <c r="M166" t="str">
        <v>CONSULTORIA</v>
      </c>
      <c r="N166" t="str">
        <v>CLIENTE-0010</v>
      </c>
      <c r="O166" t="str">
        <v>MADRID</v>
      </c>
      <c r="P166">
        <v>200</v>
      </c>
      <c r="Q166">
        <v>44380</v>
      </c>
      <c r="R166" t="str">
        <v>SI</v>
      </c>
    </row>
    <row r="167" spans="1:18" x14ac:dyDescent="0.25">
      <c r="A167" s="2">
        <v>166</v>
      </c>
      <c r="B167" t="s">
        <v>14</v>
      </c>
      <c r="C167" t="s">
        <v>21</v>
      </c>
      <c r="D167" t="s">
        <v>22</v>
      </c>
      <c r="E167" s="3">
        <v>500</v>
      </c>
      <c r="F167" s="4">
        <v>43539</v>
      </c>
      <c r="G167" s="2" t="s">
        <v>10</v>
      </c>
      <c r="L167">
        <v>411</v>
      </c>
      <c r="M167" t="str">
        <v>FORMACION</v>
      </c>
      <c r="N167" t="str">
        <v>CLIENTE-0004</v>
      </c>
      <c r="O167" t="str">
        <v>MADRID</v>
      </c>
      <c r="P167">
        <v>200</v>
      </c>
      <c r="Q167">
        <v>44188</v>
      </c>
      <c r="R167" t="str">
        <v>NO</v>
      </c>
    </row>
    <row r="168" spans="1:18" x14ac:dyDescent="0.25">
      <c r="A168" s="2">
        <v>167</v>
      </c>
      <c r="B168" t="s">
        <v>16</v>
      </c>
      <c r="C168" t="s">
        <v>23</v>
      </c>
      <c r="D168" t="s">
        <v>22</v>
      </c>
      <c r="E168" s="3">
        <v>750</v>
      </c>
      <c r="F168" s="4">
        <v>44449</v>
      </c>
      <c r="G168" s="2" t="s">
        <v>10</v>
      </c>
      <c r="L168">
        <v>446</v>
      </c>
      <c r="M168" t="str">
        <v>PROYECTO</v>
      </c>
      <c r="N168" t="str">
        <v>CLIENTE-0001</v>
      </c>
      <c r="O168" t="str">
        <v>MADRID</v>
      </c>
      <c r="P168">
        <v>200</v>
      </c>
      <c r="Q168">
        <v>44044</v>
      </c>
      <c r="R168" t="str">
        <v>SI</v>
      </c>
    </row>
    <row r="169" spans="1:18" x14ac:dyDescent="0.25">
      <c r="A169" s="2">
        <v>168</v>
      </c>
      <c r="B169" t="s">
        <v>18</v>
      </c>
      <c r="C169" t="s">
        <v>24</v>
      </c>
      <c r="D169" t="s">
        <v>9</v>
      </c>
      <c r="E169" s="3">
        <v>950</v>
      </c>
      <c r="F169" s="4">
        <v>43632</v>
      </c>
      <c r="G169" s="2" t="s">
        <v>10</v>
      </c>
      <c r="L169">
        <v>469</v>
      </c>
      <c r="M169" t="str">
        <v>EQUIPOS</v>
      </c>
      <c r="N169" t="str">
        <v>CLIENTE-0004</v>
      </c>
      <c r="O169" t="str">
        <v>MADRID</v>
      </c>
      <c r="P169">
        <v>200</v>
      </c>
      <c r="Q169">
        <v>43824</v>
      </c>
      <c r="R169" t="str">
        <v>SI</v>
      </c>
    </row>
    <row r="170" spans="1:18" x14ac:dyDescent="0.25">
      <c r="A170" s="2">
        <v>169</v>
      </c>
      <c r="B170" t="s">
        <v>20</v>
      </c>
      <c r="C170" t="s">
        <v>25</v>
      </c>
      <c r="D170" t="s">
        <v>9</v>
      </c>
      <c r="E170" s="3">
        <v>680</v>
      </c>
      <c r="F170" s="4">
        <v>43638</v>
      </c>
      <c r="G170" s="2" t="s">
        <v>10</v>
      </c>
      <c r="L170">
        <v>480</v>
      </c>
      <c r="M170" t="str">
        <v>PROYECTO</v>
      </c>
      <c r="N170" t="str">
        <v>CLIENTE-0003</v>
      </c>
      <c r="O170" t="str">
        <v>MADRID</v>
      </c>
      <c r="P170">
        <v>200</v>
      </c>
      <c r="Q170">
        <v>43931</v>
      </c>
      <c r="R170" t="str">
        <v>NO</v>
      </c>
    </row>
    <row r="171" spans="1:18" x14ac:dyDescent="0.25">
      <c r="A171" s="2">
        <v>170</v>
      </c>
      <c r="B171" t="s">
        <v>7</v>
      </c>
      <c r="C171" t="s">
        <v>24</v>
      </c>
      <c r="D171" t="s">
        <v>9</v>
      </c>
      <c r="E171" s="3">
        <v>950</v>
      </c>
      <c r="F171" s="4">
        <v>43662</v>
      </c>
      <c r="G171" s="2" t="s">
        <v>10</v>
      </c>
      <c r="L171">
        <v>515</v>
      </c>
      <c r="M171" t="str">
        <v>PROYECTO</v>
      </c>
      <c r="N171" t="str">
        <v>CLIENTE-0005</v>
      </c>
      <c r="O171" t="str">
        <v>BARCELONA</v>
      </c>
      <c r="P171">
        <v>200</v>
      </c>
      <c r="Q171">
        <v>44222</v>
      </c>
      <c r="R171" t="str">
        <v>SI</v>
      </c>
    </row>
    <row r="172" spans="1:18" x14ac:dyDescent="0.25">
      <c r="A172" s="2">
        <v>171</v>
      </c>
      <c r="B172" t="s">
        <v>11</v>
      </c>
      <c r="C172" t="s">
        <v>25</v>
      </c>
      <c r="D172" t="s">
        <v>9</v>
      </c>
      <c r="E172" s="3">
        <v>1500</v>
      </c>
      <c r="F172" s="4">
        <v>44091</v>
      </c>
      <c r="G172" s="2" t="s">
        <v>10</v>
      </c>
      <c r="L172">
        <v>538</v>
      </c>
      <c r="M172" t="str">
        <v>CONSULTORIA</v>
      </c>
      <c r="N172" t="str">
        <v>CLIENTE-0003</v>
      </c>
      <c r="O172" t="str">
        <v>MADRID</v>
      </c>
      <c r="P172">
        <v>200</v>
      </c>
      <c r="Q172">
        <v>43691</v>
      </c>
      <c r="R172" t="str">
        <v>NO</v>
      </c>
    </row>
    <row r="173" spans="1:18" x14ac:dyDescent="0.25">
      <c r="A173" s="2">
        <v>172</v>
      </c>
      <c r="B173" t="s">
        <v>14</v>
      </c>
      <c r="C173" t="s">
        <v>27</v>
      </c>
      <c r="D173" t="s">
        <v>22</v>
      </c>
      <c r="E173" s="3">
        <v>5000</v>
      </c>
      <c r="F173" s="4">
        <v>43822</v>
      </c>
      <c r="G173" s="2" t="s">
        <v>10</v>
      </c>
      <c r="L173">
        <v>549</v>
      </c>
      <c r="M173" t="str">
        <v>FORMACION</v>
      </c>
      <c r="N173" t="str">
        <v>CLIENTE-0006</v>
      </c>
      <c r="O173" t="str">
        <v>BARCELONA</v>
      </c>
      <c r="P173">
        <v>200</v>
      </c>
      <c r="Q173">
        <v>44534</v>
      </c>
      <c r="R173" t="str">
        <v>NO</v>
      </c>
    </row>
    <row r="174" spans="1:18" x14ac:dyDescent="0.25">
      <c r="A174" s="2">
        <v>173</v>
      </c>
      <c r="B174" t="s">
        <v>16</v>
      </c>
      <c r="C174" t="s">
        <v>19</v>
      </c>
      <c r="D174" t="s">
        <v>9</v>
      </c>
      <c r="E174" s="3">
        <v>6500</v>
      </c>
      <c r="F174" s="4">
        <v>44503</v>
      </c>
      <c r="G174" s="2" t="s">
        <v>10</v>
      </c>
      <c r="L174">
        <v>584</v>
      </c>
      <c r="M174" t="str">
        <v>FORMACION</v>
      </c>
      <c r="N174" t="str">
        <v>CLIENTE-0009</v>
      </c>
      <c r="O174" t="str">
        <v>ALICANTE</v>
      </c>
      <c r="P174">
        <v>200</v>
      </c>
      <c r="Q174">
        <v>44099</v>
      </c>
      <c r="R174" t="str">
        <v>SI</v>
      </c>
    </row>
    <row r="175" spans="1:18" x14ac:dyDescent="0.25">
      <c r="A175" s="2">
        <v>174</v>
      </c>
      <c r="B175" t="s">
        <v>18</v>
      </c>
      <c r="C175" t="s">
        <v>8</v>
      </c>
      <c r="D175" t="s">
        <v>9</v>
      </c>
      <c r="E175" s="3">
        <v>8500</v>
      </c>
      <c r="F175" s="4">
        <v>44462</v>
      </c>
      <c r="G175" s="2" t="s">
        <v>10</v>
      </c>
      <c r="L175">
        <v>607</v>
      </c>
      <c r="M175" t="str">
        <v>EQUIPOS</v>
      </c>
      <c r="N175" t="str">
        <v>CLIENTE-0005</v>
      </c>
      <c r="O175" t="str">
        <v>BARCELONA</v>
      </c>
      <c r="P175">
        <v>200</v>
      </c>
      <c r="Q175">
        <v>43924</v>
      </c>
      <c r="R175" t="str">
        <v>NO</v>
      </c>
    </row>
    <row r="176" spans="1:18" x14ac:dyDescent="0.25">
      <c r="A176" s="2">
        <v>175</v>
      </c>
      <c r="B176" t="s">
        <v>20</v>
      </c>
      <c r="C176" t="s">
        <v>12</v>
      </c>
      <c r="D176" t="s">
        <v>13</v>
      </c>
      <c r="E176" s="3">
        <v>1200</v>
      </c>
      <c r="F176" s="4">
        <v>44145</v>
      </c>
      <c r="G176" s="2" t="s">
        <v>10</v>
      </c>
      <c r="L176">
        <v>618</v>
      </c>
      <c r="M176" t="str">
        <v>PROGRAMA</v>
      </c>
      <c r="N176" t="str">
        <v>CLIENTE-0010</v>
      </c>
      <c r="O176" t="str">
        <v>MADRID</v>
      </c>
      <c r="P176">
        <v>200</v>
      </c>
      <c r="Q176">
        <v>44302</v>
      </c>
      <c r="R176" t="str">
        <v>NO</v>
      </c>
    </row>
    <row r="177" spans="1:18" x14ac:dyDescent="0.25">
      <c r="A177" s="2">
        <v>176</v>
      </c>
      <c r="B177" t="s">
        <v>7</v>
      </c>
      <c r="C177" t="s">
        <v>15</v>
      </c>
      <c r="D177" t="s">
        <v>13</v>
      </c>
      <c r="E177" s="3">
        <v>300</v>
      </c>
      <c r="F177" s="4">
        <v>43496</v>
      </c>
      <c r="G177" s="2" t="s">
        <v>10</v>
      </c>
      <c r="L177">
        <v>651</v>
      </c>
      <c r="M177" t="str">
        <v>EQUIPOS</v>
      </c>
      <c r="N177" t="str">
        <v>CLIENTE-0004</v>
      </c>
      <c r="O177" t="str">
        <v>MADRID</v>
      </c>
      <c r="P177">
        <v>200</v>
      </c>
      <c r="Q177">
        <v>43616</v>
      </c>
      <c r="R177" t="str">
        <v>SI</v>
      </c>
    </row>
    <row r="178" spans="1:18" x14ac:dyDescent="0.25">
      <c r="A178" s="2">
        <v>177</v>
      </c>
      <c r="B178" t="s">
        <v>7</v>
      </c>
      <c r="C178" t="s">
        <v>17</v>
      </c>
      <c r="D178" t="s">
        <v>13</v>
      </c>
      <c r="E178" s="3">
        <v>200</v>
      </c>
      <c r="F178" s="4">
        <v>44082</v>
      </c>
      <c r="G178" s="2" t="s">
        <v>10</v>
      </c>
      <c r="L178">
        <v>662</v>
      </c>
      <c r="M178" t="str">
        <v>PROYECTO</v>
      </c>
      <c r="N178" t="str">
        <v>CLIENTE-0007</v>
      </c>
      <c r="O178" t="str">
        <v>BARCELONA</v>
      </c>
      <c r="P178">
        <v>200</v>
      </c>
      <c r="Q178">
        <v>44106</v>
      </c>
      <c r="R178" t="str">
        <v>SI</v>
      </c>
    </row>
    <row r="179" spans="1:18" x14ac:dyDescent="0.25">
      <c r="A179" s="2">
        <v>178</v>
      </c>
      <c r="B179" t="s">
        <v>11</v>
      </c>
      <c r="C179" t="s">
        <v>21</v>
      </c>
      <c r="D179" t="s">
        <v>22</v>
      </c>
      <c r="E179" s="3">
        <v>150</v>
      </c>
      <c r="F179" s="4">
        <v>44166</v>
      </c>
      <c r="G179" s="2" t="s">
        <v>10</v>
      </c>
      <c r="L179">
        <v>670</v>
      </c>
      <c r="M179" t="str">
        <v>EQUIPOS</v>
      </c>
      <c r="N179" t="str">
        <v>CLIENTE-0003</v>
      </c>
      <c r="O179" t="str">
        <v>MADRID</v>
      </c>
      <c r="P179">
        <v>200</v>
      </c>
      <c r="Q179">
        <v>43646</v>
      </c>
      <c r="R179" t="str">
        <v>SI</v>
      </c>
    </row>
    <row r="180" spans="1:18" x14ac:dyDescent="0.25">
      <c r="A180" s="2">
        <v>179</v>
      </c>
      <c r="B180" t="s">
        <v>14</v>
      </c>
      <c r="C180" t="s">
        <v>23</v>
      </c>
      <c r="D180" t="s">
        <v>22</v>
      </c>
      <c r="E180" s="3">
        <v>120</v>
      </c>
      <c r="F180" s="4">
        <v>44056</v>
      </c>
      <c r="G180" s="2" t="s">
        <v>10</v>
      </c>
      <c r="L180">
        <v>693</v>
      </c>
      <c r="M180" t="str">
        <v>PROGRAMA</v>
      </c>
      <c r="N180" t="str">
        <v>CLIENTE-0001</v>
      </c>
      <c r="O180" t="str">
        <v>MADRID</v>
      </c>
      <c r="P180">
        <v>200</v>
      </c>
      <c r="Q180">
        <v>43582</v>
      </c>
      <c r="R180" t="str">
        <v>SI</v>
      </c>
    </row>
    <row r="181" spans="1:18" x14ac:dyDescent="0.25">
      <c r="A181" s="2">
        <v>180</v>
      </c>
      <c r="B181" t="s">
        <v>16</v>
      </c>
      <c r="C181" t="s">
        <v>24</v>
      </c>
      <c r="D181" t="s">
        <v>9</v>
      </c>
      <c r="E181" s="3">
        <v>300</v>
      </c>
      <c r="F181" s="4">
        <v>43601</v>
      </c>
      <c r="G181" s="2" t="s">
        <v>26</v>
      </c>
      <c r="L181">
        <v>704</v>
      </c>
      <c r="M181" t="str">
        <v>EQUIPOS</v>
      </c>
      <c r="N181" t="str">
        <v>CLIENTE-0005</v>
      </c>
      <c r="O181" t="str">
        <v>BARCELONA</v>
      </c>
      <c r="P181">
        <v>200</v>
      </c>
      <c r="Q181">
        <v>44180</v>
      </c>
      <c r="R181" t="str">
        <v>NO</v>
      </c>
    </row>
    <row r="182" spans="1:18" x14ac:dyDescent="0.25">
      <c r="A182" s="2">
        <v>181</v>
      </c>
      <c r="B182" t="s">
        <v>18</v>
      </c>
      <c r="C182" t="s">
        <v>8</v>
      </c>
      <c r="D182" t="s">
        <v>9</v>
      </c>
      <c r="E182" s="3">
        <v>350</v>
      </c>
      <c r="F182" s="4">
        <v>43893</v>
      </c>
      <c r="G182" s="2" t="s">
        <v>26</v>
      </c>
      <c r="L182">
        <v>735</v>
      </c>
      <c r="M182" t="str">
        <v>FORMACION</v>
      </c>
      <c r="N182" t="str">
        <v>CLIENTE-0004</v>
      </c>
      <c r="O182" t="str">
        <v>MADRID</v>
      </c>
      <c r="P182">
        <v>200</v>
      </c>
      <c r="Q182">
        <v>43936</v>
      </c>
      <c r="R182" t="str">
        <v>SI</v>
      </c>
    </row>
    <row r="183" spans="1:18" x14ac:dyDescent="0.25">
      <c r="A183" s="2">
        <v>182</v>
      </c>
      <c r="B183" t="s">
        <v>20</v>
      </c>
      <c r="C183" t="s">
        <v>12</v>
      </c>
      <c r="D183" t="s">
        <v>13</v>
      </c>
      <c r="E183" s="3">
        <v>300</v>
      </c>
      <c r="F183" s="4">
        <v>44198</v>
      </c>
      <c r="G183" s="2" t="s">
        <v>26</v>
      </c>
      <c r="L183">
        <v>758</v>
      </c>
      <c r="M183" t="str">
        <v>EQUIPOS</v>
      </c>
      <c r="N183" t="str">
        <v>CLIENTE-0005</v>
      </c>
      <c r="O183" t="str">
        <v>BARCELONA</v>
      </c>
      <c r="P183">
        <v>200</v>
      </c>
      <c r="Q183">
        <v>43869</v>
      </c>
      <c r="R183" t="str">
        <v>NO</v>
      </c>
    </row>
    <row r="184" spans="1:18" x14ac:dyDescent="0.25">
      <c r="A184" s="2">
        <v>183</v>
      </c>
      <c r="B184" t="s">
        <v>7</v>
      </c>
      <c r="C184" t="s">
        <v>12</v>
      </c>
      <c r="D184" t="s">
        <v>13</v>
      </c>
      <c r="E184" s="3">
        <v>120</v>
      </c>
      <c r="F184" s="4">
        <v>44139</v>
      </c>
      <c r="G184" s="2" t="s">
        <v>26</v>
      </c>
      <c r="L184">
        <v>769</v>
      </c>
      <c r="M184" t="str">
        <v>PROGRAMA</v>
      </c>
      <c r="N184" t="str">
        <v>CLIENTE-0008</v>
      </c>
      <c r="O184" t="str">
        <v>ALICANTE</v>
      </c>
      <c r="P184">
        <v>200</v>
      </c>
      <c r="Q184">
        <v>44342</v>
      </c>
      <c r="R184" t="str">
        <v>SI</v>
      </c>
    </row>
    <row r="185" spans="1:18" x14ac:dyDescent="0.25">
      <c r="A185" s="2">
        <v>184</v>
      </c>
      <c r="B185" t="s">
        <v>11</v>
      </c>
      <c r="C185" t="s">
        <v>15</v>
      </c>
      <c r="D185" t="s">
        <v>13</v>
      </c>
      <c r="E185" s="3">
        <v>150</v>
      </c>
      <c r="F185" s="4">
        <v>43673</v>
      </c>
      <c r="G185" s="2" t="s">
        <v>26</v>
      </c>
      <c r="L185">
        <v>15</v>
      </c>
      <c r="M185" t="str">
        <v>EQUIPOS</v>
      </c>
      <c r="N185" t="str">
        <v>CLIENTE-0010</v>
      </c>
      <c r="O185" t="str">
        <v>MADRID</v>
      </c>
      <c r="P185">
        <v>300</v>
      </c>
      <c r="Q185">
        <v>43517</v>
      </c>
      <c r="R185" t="str">
        <v>NO</v>
      </c>
    </row>
    <row r="186" spans="1:18" x14ac:dyDescent="0.25">
      <c r="A186" s="2">
        <v>185</v>
      </c>
      <c r="B186" t="s">
        <v>14</v>
      </c>
      <c r="C186" t="s">
        <v>17</v>
      </c>
      <c r="D186" t="s">
        <v>13</v>
      </c>
      <c r="E186" s="3">
        <v>8500</v>
      </c>
      <c r="F186" s="4">
        <v>43993</v>
      </c>
      <c r="G186" s="2" t="s">
        <v>26</v>
      </c>
      <c r="L186">
        <v>19</v>
      </c>
      <c r="M186" t="str">
        <v>EQUIPOS</v>
      </c>
      <c r="N186" t="str">
        <v>CLIENTE-0004</v>
      </c>
      <c r="O186" t="str">
        <v>MADRID</v>
      </c>
      <c r="P186">
        <v>300</v>
      </c>
      <c r="Q186">
        <v>43800</v>
      </c>
      <c r="R186" t="str">
        <v>NO</v>
      </c>
    </row>
    <row r="187" spans="1:18" x14ac:dyDescent="0.25">
      <c r="A187" s="2">
        <v>186</v>
      </c>
      <c r="B187" t="s">
        <v>16</v>
      </c>
      <c r="C187" t="s">
        <v>21</v>
      </c>
      <c r="D187" t="s">
        <v>22</v>
      </c>
      <c r="E187" s="3">
        <v>1200</v>
      </c>
      <c r="F187" s="4">
        <v>44351</v>
      </c>
      <c r="G187" s="2" t="s">
        <v>26</v>
      </c>
      <c r="L187">
        <v>21</v>
      </c>
      <c r="M187" t="str">
        <v>FORMACION</v>
      </c>
      <c r="N187" t="str">
        <v>CLIENTE-0006</v>
      </c>
      <c r="O187" t="str">
        <v>BARCELONA</v>
      </c>
      <c r="P187">
        <v>300</v>
      </c>
      <c r="Q187">
        <v>43740</v>
      </c>
      <c r="R187" t="str">
        <v>NO</v>
      </c>
    </row>
    <row r="188" spans="1:18" x14ac:dyDescent="0.25">
      <c r="A188" s="2">
        <v>187</v>
      </c>
      <c r="B188" t="s">
        <v>18</v>
      </c>
      <c r="C188" t="s">
        <v>23</v>
      </c>
      <c r="D188" t="s">
        <v>22</v>
      </c>
      <c r="E188" s="3">
        <v>300</v>
      </c>
      <c r="F188" s="4">
        <v>44377</v>
      </c>
      <c r="G188" s="2" t="s">
        <v>10</v>
      </c>
      <c r="L188">
        <v>38</v>
      </c>
      <c r="M188" t="str">
        <v>EQUIPOS</v>
      </c>
      <c r="N188" t="str">
        <v>CLIENTE-0003</v>
      </c>
      <c r="O188" t="str">
        <v>MADRID</v>
      </c>
      <c r="P188">
        <v>300</v>
      </c>
      <c r="Q188">
        <v>44363</v>
      </c>
      <c r="R188" t="str">
        <v>SI</v>
      </c>
    </row>
    <row r="189" spans="1:18" x14ac:dyDescent="0.25">
      <c r="A189" s="2">
        <v>188</v>
      </c>
      <c r="B189" t="s">
        <v>20</v>
      </c>
      <c r="C189" t="s">
        <v>24</v>
      </c>
      <c r="D189" t="s">
        <v>9</v>
      </c>
      <c r="E189" s="3">
        <v>200</v>
      </c>
      <c r="F189" s="4">
        <v>43561</v>
      </c>
      <c r="G189" s="2" t="s">
        <v>10</v>
      </c>
      <c r="L189">
        <v>42</v>
      </c>
      <c r="M189" t="str">
        <v>DESARROLLO</v>
      </c>
      <c r="N189" t="str">
        <v>CLIENTE-0007</v>
      </c>
      <c r="O189" t="str">
        <v>BARCELONA</v>
      </c>
      <c r="P189">
        <v>300</v>
      </c>
      <c r="Q189">
        <v>44373</v>
      </c>
      <c r="R189" t="str">
        <v>SI</v>
      </c>
    </row>
    <row r="190" spans="1:18" x14ac:dyDescent="0.25">
      <c r="A190" s="2">
        <v>189</v>
      </c>
      <c r="B190" t="s">
        <v>7</v>
      </c>
      <c r="C190" t="s">
        <v>25</v>
      </c>
      <c r="D190" t="s">
        <v>9</v>
      </c>
      <c r="E190" s="3">
        <v>150</v>
      </c>
      <c r="F190" s="4">
        <v>44303</v>
      </c>
      <c r="G190" s="2" t="s">
        <v>10</v>
      </c>
      <c r="L190">
        <v>44</v>
      </c>
      <c r="M190" t="str">
        <v>EQUIPOS</v>
      </c>
      <c r="N190" t="str">
        <v>CLIENTE-0009</v>
      </c>
      <c r="O190" t="str">
        <v>ALICANTE</v>
      </c>
      <c r="P190">
        <v>300</v>
      </c>
      <c r="Q190">
        <v>44382</v>
      </c>
      <c r="R190" t="str">
        <v>NO</v>
      </c>
    </row>
    <row r="191" spans="1:18" x14ac:dyDescent="0.25">
      <c r="A191" s="2">
        <v>190</v>
      </c>
      <c r="B191" t="s">
        <v>11</v>
      </c>
      <c r="C191" t="s">
        <v>24</v>
      </c>
      <c r="D191" t="s">
        <v>9</v>
      </c>
      <c r="E191" s="3">
        <v>120</v>
      </c>
      <c r="F191" s="4">
        <v>43715</v>
      </c>
      <c r="G191" s="2" t="s">
        <v>10</v>
      </c>
      <c r="L191">
        <v>49</v>
      </c>
      <c r="M191" t="str">
        <v>PROYECTO</v>
      </c>
      <c r="N191" t="str">
        <v>CLIENTE-0007</v>
      </c>
      <c r="O191" t="str">
        <v>BARCELONA</v>
      </c>
      <c r="P191">
        <v>300</v>
      </c>
      <c r="Q191">
        <v>44202</v>
      </c>
      <c r="R191" t="str">
        <v>NO</v>
      </c>
    </row>
    <row r="192" spans="1:18" x14ac:dyDescent="0.25">
      <c r="A192" s="2">
        <v>191</v>
      </c>
      <c r="B192" t="s">
        <v>14</v>
      </c>
      <c r="C192" t="s">
        <v>25</v>
      </c>
      <c r="D192" t="s">
        <v>9</v>
      </c>
      <c r="E192" s="3">
        <v>300</v>
      </c>
      <c r="F192" s="4">
        <v>44532</v>
      </c>
      <c r="G192" s="2" t="s">
        <v>10</v>
      </c>
      <c r="L192">
        <v>53</v>
      </c>
      <c r="M192" t="str">
        <v>CONSULTORIA</v>
      </c>
      <c r="N192" t="str">
        <v>CLIENTE-0005</v>
      </c>
      <c r="O192" t="str">
        <v>BARCELONA</v>
      </c>
      <c r="P192">
        <v>300</v>
      </c>
      <c r="Q192">
        <v>44216</v>
      </c>
      <c r="R192" t="str">
        <v>SI</v>
      </c>
    </row>
    <row r="193" spans="1:18" x14ac:dyDescent="0.25">
      <c r="A193" s="2">
        <v>192</v>
      </c>
      <c r="B193" t="s">
        <v>20</v>
      </c>
      <c r="C193" t="s">
        <v>27</v>
      </c>
      <c r="D193" t="s">
        <v>22</v>
      </c>
      <c r="E193" s="3">
        <v>350</v>
      </c>
      <c r="F193" s="4">
        <v>43858</v>
      </c>
      <c r="G193" s="2" t="s">
        <v>10</v>
      </c>
      <c r="L193">
        <v>55</v>
      </c>
      <c r="M193" t="str">
        <v>PROYECTO</v>
      </c>
      <c r="N193" t="str">
        <v>CLIENTE-0007</v>
      </c>
      <c r="O193" t="str">
        <v>BARCELONA</v>
      </c>
      <c r="P193">
        <v>300</v>
      </c>
      <c r="Q193">
        <v>44141</v>
      </c>
      <c r="R193" t="str">
        <v>SI</v>
      </c>
    </row>
    <row r="194" spans="1:18" x14ac:dyDescent="0.25">
      <c r="A194" s="2">
        <v>193</v>
      </c>
      <c r="B194" t="s">
        <v>7</v>
      </c>
      <c r="C194" t="s">
        <v>19</v>
      </c>
      <c r="D194" t="s">
        <v>9</v>
      </c>
      <c r="E194" s="3">
        <v>300</v>
      </c>
      <c r="F194" s="4">
        <v>43700</v>
      </c>
      <c r="G194" s="2" t="s">
        <v>10</v>
      </c>
      <c r="L194">
        <v>84</v>
      </c>
      <c r="M194" t="str">
        <v>EQUIPOS</v>
      </c>
      <c r="N194" t="str">
        <v>CLIENTE-0004</v>
      </c>
      <c r="O194" t="str">
        <v>MADRID</v>
      </c>
      <c r="P194">
        <v>300</v>
      </c>
      <c r="Q194">
        <v>43657</v>
      </c>
      <c r="R194" t="str">
        <v>NO</v>
      </c>
    </row>
    <row r="195" spans="1:18" x14ac:dyDescent="0.25">
      <c r="A195" s="2">
        <v>194</v>
      </c>
      <c r="B195" t="s">
        <v>11</v>
      </c>
      <c r="C195" t="s">
        <v>8</v>
      </c>
      <c r="D195" t="s">
        <v>9</v>
      </c>
      <c r="E195" s="3">
        <v>120</v>
      </c>
      <c r="F195" s="4">
        <v>44478</v>
      </c>
      <c r="G195" s="2" t="s">
        <v>10</v>
      </c>
      <c r="L195">
        <v>88</v>
      </c>
      <c r="M195" t="str">
        <v>DESARROLLO</v>
      </c>
      <c r="N195" t="str">
        <v>CLIENTE-0008</v>
      </c>
      <c r="O195" t="str">
        <v>ALICANTE</v>
      </c>
      <c r="P195">
        <v>300</v>
      </c>
      <c r="Q195">
        <v>44327</v>
      </c>
      <c r="R195" t="str">
        <v>NO</v>
      </c>
    </row>
    <row r="196" spans="1:18" x14ac:dyDescent="0.25">
      <c r="A196" s="2">
        <v>195</v>
      </c>
      <c r="B196" t="s">
        <v>14</v>
      </c>
      <c r="C196" t="s">
        <v>12</v>
      </c>
      <c r="D196" t="s">
        <v>13</v>
      </c>
      <c r="E196" s="3">
        <v>150</v>
      </c>
      <c r="F196" s="4">
        <v>44438</v>
      </c>
      <c r="G196" s="2" t="s">
        <v>10</v>
      </c>
      <c r="L196">
        <v>90</v>
      </c>
      <c r="M196" t="str">
        <v>PROYECTO</v>
      </c>
      <c r="N196" t="str">
        <v>CLIENTE-0010</v>
      </c>
      <c r="O196" t="str">
        <v>MADRID</v>
      </c>
      <c r="P196">
        <v>300</v>
      </c>
      <c r="Q196">
        <v>43675</v>
      </c>
      <c r="R196" t="str">
        <v>NO</v>
      </c>
    </row>
    <row r="197" spans="1:18" x14ac:dyDescent="0.25">
      <c r="A197" s="2">
        <v>196</v>
      </c>
      <c r="B197" t="s">
        <v>16</v>
      </c>
      <c r="C197" t="s">
        <v>15</v>
      </c>
      <c r="D197" t="s">
        <v>13</v>
      </c>
      <c r="E197" s="3">
        <v>1200</v>
      </c>
      <c r="F197" s="4">
        <v>43869</v>
      </c>
      <c r="G197" s="2" t="s">
        <v>10</v>
      </c>
      <c r="L197">
        <v>107</v>
      </c>
      <c r="M197" t="str">
        <v>EQUIPOS</v>
      </c>
      <c r="N197" t="str">
        <v>CLIENTE-0002</v>
      </c>
      <c r="O197" t="str">
        <v>ALICANTE</v>
      </c>
      <c r="P197">
        <v>300</v>
      </c>
      <c r="Q197">
        <v>44080</v>
      </c>
      <c r="R197" t="str">
        <v>SI</v>
      </c>
    </row>
    <row r="198" spans="1:18" x14ac:dyDescent="0.25">
      <c r="A198" s="2">
        <v>197</v>
      </c>
      <c r="B198" t="s">
        <v>18</v>
      </c>
      <c r="C198" t="s">
        <v>17</v>
      </c>
      <c r="D198" t="s">
        <v>13</v>
      </c>
      <c r="E198" s="3">
        <v>800</v>
      </c>
      <c r="F198" s="4">
        <v>43963</v>
      </c>
      <c r="G198" s="2" t="s">
        <v>10</v>
      </c>
      <c r="L198">
        <v>111</v>
      </c>
      <c r="M198" t="str">
        <v>DESARROLLO</v>
      </c>
      <c r="N198" t="str">
        <v>CLIENTE-0006</v>
      </c>
      <c r="O198" t="str">
        <v>BARCELONA</v>
      </c>
      <c r="P198">
        <v>300</v>
      </c>
      <c r="Q198">
        <v>44170</v>
      </c>
      <c r="R198" t="str">
        <v>NO</v>
      </c>
    </row>
    <row r="199" spans="1:18" x14ac:dyDescent="0.25">
      <c r="A199" s="2">
        <v>198</v>
      </c>
      <c r="B199" t="s">
        <v>20</v>
      </c>
      <c r="C199" t="s">
        <v>21</v>
      </c>
      <c r="D199" t="s">
        <v>22</v>
      </c>
      <c r="E199" s="3">
        <v>750</v>
      </c>
      <c r="F199" s="4">
        <v>43576</v>
      </c>
      <c r="G199" s="2" t="s">
        <v>10</v>
      </c>
      <c r="L199">
        <v>113</v>
      </c>
      <c r="M199" t="str">
        <v>EQUIPOS</v>
      </c>
      <c r="N199" t="str">
        <v>CLIENTE-0008</v>
      </c>
      <c r="O199" t="str">
        <v>ALICANTE</v>
      </c>
      <c r="P199">
        <v>300</v>
      </c>
      <c r="Q199">
        <v>44384</v>
      </c>
      <c r="R199" t="str">
        <v>NO</v>
      </c>
    </row>
    <row r="200" spans="1:18" x14ac:dyDescent="0.25">
      <c r="A200" s="2">
        <v>199</v>
      </c>
      <c r="B200" t="s">
        <v>7</v>
      </c>
      <c r="C200" t="s">
        <v>23</v>
      </c>
      <c r="D200" t="s">
        <v>22</v>
      </c>
      <c r="E200" s="3">
        <v>4500</v>
      </c>
      <c r="F200" s="4">
        <v>43504</v>
      </c>
      <c r="G200" s="2" t="s">
        <v>10</v>
      </c>
      <c r="L200">
        <v>118</v>
      </c>
      <c r="M200" t="str">
        <v>FORMACION</v>
      </c>
      <c r="N200" t="str">
        <v>CLIENTE-0005</v>
      </c>
      <c r="O200" t="str">
        <v>BARCELONA</v>
      </c>
      <c r="P200">
        <v>300</v>
      </c>
      <c r="Q200">
        <v>43811</v>
      </c>
      <c r="R200" t="str">
        <v>SI</v>
      </c>
    </row>
    <row r="201" spans="1:18" x14ac:dyDescent="0.25">
      <c r="A201" s="2">
        <v>200</v>
      </c>
      <c r="B201" t="s">
        <v>11</v>
      </c>
      <c r="C201" t="s">
        <v>24</v>
      </c>
      <c r="D201" t="s">
        <v>9</v>
      </c>
      <c r="E201" s="3">
        <v>500</v>
      </c>
      <c r="F201" s="4">
        <v>43583</v>
      </c>
      <c r="G201" s="2" t="s">
        <v>10</v>
      </c>
      <c r="L201">
        <v>122</v>
      </c>
      <c r="M201" t="str">
        <v>EQUIPOS</v>
      </c>
      <c r="N201" t="str">
        <v>CLIENTE-0009</v>
      </c>
      <c r="O201" t="str">
        <v>ALICANTE</v>
      </c>
      <c r="P201">
        <v>300</v>
      </c>
      <c r="Q201">
        <v>43615</v>
      </c>
      <c r="R201" t="str">
        <v>SI</v>
      </c>
    </row>
    <row r="202" spans="1:18" x14ac:dyDescent="0.25">
      <c r="A202" s="2">
        <v>201</v>
      </c>
      <c r="B202" t="s">
        <v>14</v>
      </c>
      <c r="C202" t="s">
        <v>8</v>
      </c>
      <c r="D202" t="s">
        <v>9</v>
      </c>
      <c r="E202" s="3">
        <v>750</v>
      </c>
      <c r="F202" s="4">
        <v>44437</v>
      </c>
      <c r="G202" s="2" t="s">
        <v>10</v>
      </c>
      <c r="L202">
        <v>124</v>
      </c>
      <c r="M202" t="str">
        <v>DESARROLLO</v>
      </c>
      <c r="N202" t="str">
        <v>CLIENTE-0001</v>
      </c>
      <c r="O202" t="str">
        <v>MADRID</v>
      </c>
      <c r="P202">
        <v>300</v>
      </c>
      <c r="Q202">
        <v>43639</v>
      </c>
      <c r="R202" t="str">
        <v>SI</v>
      </c>
    </row>
    <row r="203" spans="1:18" x14ac:dyDescent="0.25">
      <c r="A203" s="2">
        <v>202</v>
      </c>
      <c r="B203" t="s">
        <v>16</v>
      </c>
      <c r="C203" t="s">
        <v>12</v>
      </c>
      <c r="D203" t="s">
        <v>13</v>
      </c>
      <c r="E203" s="3">
        <v>950</v>
      </c>
      <c r="F203" s="4">
        <v>44201</v>
      </c>
      <c r="G203" s="2" t="s">
        <v>10</v>
      </c>
      <c r="L203">
        <v>153</v>
      </c>
      <c r="M203" t="str">
        <v>CONSULTORIA</v>
      </c>
      <c r="N203" t="str">
        <v>CLIENTE-0003</v>
      </c>
      <c r="O203" t="str">
        <v>MADRID</v>
      </c>
      <c r="P203">
        <v>300</v>
      </c>
      <c r="Q203">
        <v>43708</v>
      </c>
      <c r="R203" t="str">
        <v>NO</v>
      </c>
    </row>
    <row r="204" spans="1:18" x14ac:dyDescent="0.25">
      <c r="A204" s="2">
        <v>203</v>
      </c>
      <c r="B204" t="s">
        <v>11</v>
      </c>
      <c r="C204" t="s">
        <v>12</v>
      </c>
      <c r="D204" t="s">
        <v>13</v>
      </c>
      <c r="E204" s="3">
        <v>680</v>
      </c>
      <c r="F204" s="4">
        <v>43951</v>
      </c>
      <c r="G204" s="2" t="s">
        <v>10</v>
      </c>
      <c r="L204">
        <v>157</v>
      </c>
      <c r="M204" t="str">
        <v>CONSULTORIA</v>
      </c>
      <c r="N204" t="str">
        <v>CLIENTE-0007</v>
      </c>
      <c r="O204" t="str">
        <v>BARCELONA</v>
      </c>
      <c r="P204">
        <v>300</v>
      </c>
      <c r="Q204">
        <v>43987</v>
      </c>
      <c r="R204" t="str">
        <v>NO</v>
      </c>
    </row>
    <row r="205" spans="1:18" x14ac:dyDescent="0.25">
      <c r="A205" s="2">
        <v>204</v>
      </c>
      <c r="B205" t="s">
        <v>14</v>
      </c>
      <c r="C205" t="s">
        <v>15</v>
      </c>
      <c r="D205" t="s">
        <v>13</v>
      </c>
      <c r="E205" s="3">
        <v>950</v>
      </c>
      <c r="F205" s="4">
        <v>43741</v>
      </c>
      <c r="G205" s="2" t="s">
        <v>10</v>
      </c>
      <c r="L205">
        <v>159</v>
      </c>
      <c r="M205" t="str">
        <v>PROYECTO</v>
      </c>
      <c r="N205" t="str">
        <v>CLIENTE-0009</v>
      </c>
      <c r="O205" t="str">
        <v>ALICANTE</v>
      </c>
      <c r="P205">
        <v>300</v>
      </c>
      <c r="Q205">
        <v>43678</v>
      </c>
      <c r="R205" t="str">
        <v>SI</v>
      </c>
    </row>
    <row r="206" spans="1:18" x14ac:dyDescent="0.25">
      <c r="A206" s="2">
        <v>205</v>
      </c>
      <c r="B206" t="s">
        <v>16</v>
      </c>
      <c r="C206" t="s">
        <v>17</v>
      </c>
      <c r="D206" t="s">
        <v>13</v>
      </c>
      <c r="E206" s="3">
        <v>1500</v>
      </c>
      <c r="F206" s="4">
        <v>43525</v>
      </c>
      <c r="G206" s="2" t="s">
        <v>10</v>
      </c>
      <c r="L206">
        <v>176</v>
      </c>
      <c r="M206" t="str">
        <v>DESARROLLO</v>
      </c>
      <c r="N206" t="str">
        <v>CLIENTE-0006</v>
      </c>
      <c r="O206" t="str">
        <v>BARCELONA</v>
      </c>
      <c r="P206">
        <v>300</v>
      </c>
      <c r="Q206">
        <v>43496</v>
      </c>
      <c r="R206" t="str">
        <v>SI</v>
      </c>
    </row>
    <row r="207" spans="1:18" x14ac:dyDescent="0.25">
      <c r="A207" s="2">
        <v>206</v>
      </c>
      <c r="B207" t="s">
        <v>18</v>
      </c>
      <c r="C207" t="s">
        <v>21</v>
      </c>
      <c r="D207" t="s">
        <v>22</v>
      </c>
      <c r="E207" s="3">
        <v>5000</v>
      </c>
      <c r="F207" s="4">
        <v>43782</v>
      </c>
      <c r="G207" s="2" t="s">
        <v>10</v>
      </c>
      <c r="L207">
        <v>180</v>
      </c>
      <c r="M207" t="str">
        <v>PROGRAMA</v>
      </c>
      <c r="N207" t="str">
        <v>CLIENTE-0010</v>
      </c>
      <c r="O207" t="str">
        <v>MADRID</v>
      </c>
      <c r="P207">
        <v>300</v>
      </c>
      <c r="Q207">
        <v>43601</v>
      </c>
      <c r="R207" t="str">
        <v>NO</v>
      </c>
    </row>
    <row r="208" spans="1:18" x14ac:dyDescent="0.25">
      <c r="A208" s="2">
        <v>207</v>
      </c>
      <c r="B208" t="s">
        <v>20</v>
      </c>
      <c r="C208" t="s">
        <v>23</v>
      </c>
      <c r="D208" t="s">
        <v>22</v>
      </c>
      <c r="E208" s="3">
        <v>6500</v>
      </c>
      <c r="F208" s="4">
        <v>43705</v>
      </c>
      <c r="G208" s="2" t="s">
        <v>10</v>
      </c>
      <c r="L208">
        <v>182</v>
      </c>
      <c r="M208" t="str">
        <v>CONSULTORIA</v>
      </c>
      <c r="N208" t="str">
        <v>CLIENTE-0005</v>
      </c>
      <c r="O208" t="str">
        <v>BARCELONA</v>
      </c>
      <c r="P208">
        <v>300</v>
      </c>
      <c r="Q208">
        <v>44198</v>
      </c>
      <c r="R208" t="str">
        <v>NO</v>
      </c>
    </row>
    <row r="209" spans="1:18" x14ac:dyDescent="0.25">
      <c r="A209" s="2">
        <v>208</v>
      </c>
      <c r="B209" t="s">
        <v>7</v>
      </c>
      <c r="C209" t="s">
        <v>24</v>
      </c>
      <c r="D209" t="s">
        <v>9</v>
      </c>
      <c r="E209" s="3">
        <v>1200</v>
      </c>
      <c r="F209" s="4">
        <v>43960</v>
      </c>
      <c r="G209" s="2" t="s">
        <v>10</v>
      </c>
      <c r="L209">
        <v>187</v>
      </c>
      <c r="M209" t="str">
        <v>FORMACION</v>
      </c>
      <c r="N209" t="str">
        <v>CLIENTE-0009</v>
      </c>
      <c r="O209" t="str">
        <v>ALICANTE</v>
      </c>
      <c r="P209">
        <v>300</v>
      </c>
      <c r="Q209">
        <v>44377</v>
      </c>
      <c r="R209" t="str">
        <v>SI</v>
      </c>
    </row>
    <row r="210" spans="1:18" x14ac:dyDescent="0.25">
      <c r="A210" s="2">
        <v>209</v>
      </c>
      <c r="B210" t="s">
        <v>11</v>
      </c>
      <c r="C210" t="s">
        <v>25</v>
      </c>
      <c r="D210" t="s">
        <v>9</v>
      </c>
      <c r="E210" s="3">
        <v>800</v>
      </c>
      <c r="F210" s="4">
        <v>43962</v>
      </c>
      <c r="G210" s="2" t="s">
        <v>26</v>
      </c>
      <c r="L210">
        <v>191</v>
      </c>
      <c r="M210" t="str">
        <v>EQUIPOS</v>
      </c>
      <c r="N210" t="str">
        <v>CLIENTE-0001</v>
      </c>
      <c r="O210" t="str">
        <v>MADRID</v>
      </c>
      <c r="P210">
        <v>300</v>
      </c>
      <c r="Q210">
        <v>44532</v>
      </c>
      <c r="R210" t="str">
        <v>SI</v>
      </c>
    </row>
    <row r="211" spans="1:18" x14ac:dyDescent="0.25">
      <c r="A211" s="2">
        <v>210</v>
      </c>
      <c r="B211" t="s">
        <v>14</v>
      </c>
      <c r="C211" t="s">
        <v>24</v>
      </c>
      <c r="D211" t="s">
        <v>9</v>
      </c>
      <c r="E211" s="3">
        <v>750</v>
      </c>
      <c r="F211" s="4">
        <v>44069</v>
      </c>
      <c r="G211" s="2" t="s">
        <v>26</v>
      </c>
      <c r="L211">
        <v>193</v>
      </c>
      <c r="M211" t="str">
        <v>DESARROLLO</v>
      </c>
      <c r="N211" t="str">
        <v>CLIENTE-0003</v>
      </c>
      <c r="O211" t="str">
        <v>MADRID</v>
      </c>
      <c r="P211">
        <v>300</v>
      </c>
      <c r="Q211">
        <v>43700</v>
      </c>
      <c r="R211" t="str">
        <v>SI</v>
      </c>
    </row>
    <row r="212" spans="1:18" x14ac:dyDescent="0.25">
      <c r="A212" s="2">
        <v>211</v>
      </c>
      <c r="B212" t="s">
        <v>20</v>
      </c>
      <c r="C212" t="s">
        <v>25</v>
      </c>
      <c r="D212" t="s">
        <v>9</v>
      </c>
      <c r="E212" s="3">
        <v>4500</v>
      </c>
      <c r="F212" s="4">
        <v>43560</v>
      </c>
      <c r="G212" s="2" t="s">
        <v>26</v>
      </c>
      <c r="L212">
        <v>222</v>
      </c>
      <c r="M212" t="str">
        <v>FORMACION</v>
      </c>
      <c r="N212" t="str">
        <v>CLIENTE-0005</v>
      </c>
      <c r="O212" t="str">
        <v>BARCELONA</v>
      </c>
      <c r="P212">
        <v>300</v>
      </c>
      <c r="Q212">
        <v>44395</v>
      </c>
      <c r="R212" t="str">
        <v>SI</v>
      </c>
    </row>
    <row r="213" spans="1:18" x14ac:dyDescent="0.25">
      <c r="A213" s="2">
        <v>212</v>
      </c>
      <c r="B213" t="s">
        <v>7</v>
      </c>
      <c r="C213" t="s">
        <v>27</v>
      </c>
      <c r="D213" t="s">
        <v>22</v>
      </c>
      <c r="E213" s="3">
        <v>500</v>
      </c>
      <c r="F213" s="4">
        <v>43600</v>
      </c>
      <c r="G213" s="2" t="s">
        <v>26</v>
      </c>
      <c r="L213">
        <v>226</v>
      </c>
      <c r="M213" t="str">
        <v>EQUIPOS</v>
      </c>
      <c r="N213" t="str">
        <v>CLIENTE-0004</v>
      </c>
      <c r="O213" t="str">
        <v>MADRID</v>
      </c>
      <c r="P213">
        <v>300</v>
      </c>
      <c r="Q213">
        <v>43777</v>
      </c>
      <c r="R213" t="str">
        <v>NO</v>
      </c>
    </row>
    <row r="214" spans="1:18" x14ac:dyDescent="0.25">
      <c r="A214" s="2">
        <v>213</v>
      </c>
      <c r="B214" t="s">
        <v>11</v>
      </c>
      <c r="C214" t="s">
        <v>19</v>
      </c>
      <c r="D214" t="s">
        <v>9</v>
      </c>
      <c r="E214" s="3">
        <v>750</v>
      </c>
      <c r="F214" s="4">
        <v>44170</v>
      </c>
      <c r="G214" s="2" t="s">
        <v>26</v>
      </c>
      <c r="L214">
        <v>228</v>
      </c>
      <c r="M214" t="str">
        <v>FORMACION</v>
      </c>
      <c r="N214" t="str">
        <v>CLIENTE-0005</v>
      </c>
      <c r="O214" t="str">
        <v>BARCELONA</v>
      </c>
      <c r="P214">
        <v>300</v>
      </c>
      <c r="Q214">
        <v>43549</v>
      </c>
      <c r="R214" t="str">
        <v>NO</v>
      </c>
    </row>
    <row r="215" spans="1:18" x14ac:dyDescent="0.25">
      <c r="A215" s="2">
        <v>214</v>
      </c>
      <c r="B215" t="s">
        <v>14</v>
      </c>
      <c r="C215" t="s">
        <v>8</v>
      </c>
      <c r="D215" t="s">
        <v>9</v>
      </c>
      <c r="E215" s="3">
        <v>950</v>
      </c>
      <c r="F215" s="4">
        <v>44121</v>
      </c>
      <c r="G215" s="2" t="s">
        <v>26</v>
      </c>
      <c r="L215">
        <v>245</v>
      </c>
      <c r="M215" t="str">
        <v>CONSULTORIA</v>
      </c>
      <c r="N215" t="str">
        <v>CLIENTE-0010</v>
      </c>
      <c r="O215" t="str">
        <v>MADRID</v>
      </c>
      <c r="P215">
        <v>300</v>
      </c>
      <c r="Q215">
        <v>44514</v>
      </c>
      <c r="R215" t="str">
        <v>SI</v>
      </c>
    </row>
    <row r="216" spans="1:18" x14ac:dyDescent="0.25">
      <c r="A216" s="2">
        <v>215</v>
      </c>
      <c r="B216" t="s">
        <v>16</v>
      </c>
      <c r="C216" t="s">
        <v>12</v>
      </c>
      <c r="D216" t="s">
        <v>13</v>
      </c>
      <c r="E216" s="3">
        <v>680</v>
      </c>
      <c r="F216" s="4">
        <v>44197</v>
      </c>
      <c r="G216" s="2" t="s">
        <v>26</v>
      </c>
      <c r="L216">
        <v>249</v>
      </c>
      <c r="M216" t="str">
        <v>PROGRAMA</v>
      </c>
      <c r="N216" t="str">
        <v>CLIENTE-0006</v>
      </c>
      <c r="O216" t="str">
        <v>BARCELONA</v>
      </c>
      <c r="P216">
        <v>300</v>
      </c>
      <c r="Q216">
        <v>43669</v>
      </c>
      <c r="R216" t="str">
        <v>SI</v>
      </c>
    </row>
    <row r="217" spans="1:18" x14ac:dyDescent="0.25">
      <c r="A217" s="2">
        <v>216</v>
      </c>
      <c r="B217" t="s">
        <v>18</v>
      </c>
      <c r="C217" t="s">
        <v>15</v>
      </c>
      <c r="D217" t="s">
        <v>13</v>
      </c>
      <c r="E217" s="3">
        <v>950</v>
      </c>
      <c r="F217" s="4">
        <v>44006</v>
      </c>
      <c r="G217" s="2" t="s">
        <v>10</v>
      </c>
      <c r="L217">
        <v>251</v>
      </c>
      <c r="M217" t="str">
        <v>CONSULTORIA</v>
      </c>
      <c r="N217" t="str">
        <v>CLIENTE-0008</v>
      </c>
      <c r="O217" t="str">
        <v>ALICANTE</v>
      </c>
      <c r="P217">
        <v>300</v>
      </c>
      <c r="Q217">
        <v>43630</v>
      </c>
      <c r="R217" t="str">
        <v>NO</v>
      </c>
    </row>
    <row r="218" spans="1:18" x14ac:dyDescent="0.25">
      <c r="A218" s="2">
        <v>217</v>
      </c>
      <c r="B218" t="s">
        <v>20</v>
      </c>
      <c r="C218" t="s">
        <v>17</v>
      </c>
      <c r="D218" t="s">
        <v>13</v>
      </c>
      <c r="E218" s="3">
        <v>1500</v>
      </c>
      <c r="F218" s="4">
        <v>44212</v>
      </c>
      <c r="G218" s="2" t="s">
        <v>10</v>
      </c>
      <c r="L218">
        <v>256</v>
      </c>
      <c r="M218" t="str">
        <v>FORMACION</v>
      </c>
      <c r="N218" t="str">
        <v>CLIENTE-0001</v>
      </c>
      <c r="O218" t="str">
        <v>MADRID</v>
      </c>
      <c r="P218">
        <v>300</v>
      </c>
      <c r="Q218">
        <v>43853</v>
      </c>
      <c r="R218" t="str">
        <v>NO</v>
      </c>
    </row>
    <row r="219" spans="1:18" x14ac:dyDescent="0.25">
      <c r="A219" s="2">
        <v>218</v>
      </c>
      <c r="B219" t="s">
        <v>7</v>
      </c>
      <c r="C219" t="s">
        <v>21</v>
      </c>
      <c r="D219" t="s">
        <v>22</v>
      </c>
      <c r="E219" s="3">
        <v>5000</v>
      </c>
      <c r="F219" s="4">
        <v>43813</v>
      </c>
      <c r="G219" s="2" t="s">
        <v>10</v>
      </c>
      <c r="L219">
        <v>260</v>
      </c>
      <c r="M219" t="str">
        <v>EQUIPOS</v>
      </c>
      <c r="N219" t="str">
        <v>CLIENTE-0005</v>
      </c>
      <c r="O219" t="str">
        <v>BARCELONA</v>
      </c>
      <c r="P219">
        <v>300</v>
      </c>
      <c r="Q219">
        <v>44281</v>
      </c>
      <c r="R219" t="str">
        <v>SI</v>
      </c>
    </row>
    <row r="220" spans="1:18" x14ac:dyDescent="0.25">
      <c r="A220" s="2">
        <v>219</v>
      </c>
      <c r="B220" t="s">
        <v>11</v>
      </c>
      <c r="C220" t="s">
        <v>23</v>
      </c>
      <c r="D220" t="s">
        <v>22</v>
      </c>
      <c r="E220" s="3">
        <v>6500</v>
      </c>
      <c r="F220" s="4">
        <v>44365</v>
      </c>
      <c r="G220" s="2" t="s">
        <v>10</v>
      </c>
      <c r="L220">
        <v>262</v>
      </c>
      <c r="M220" t="str">
        <v>FORMACION</v>
      </c>
      <c r="N220" t="str">
        <v>CLIENTE-0007</v>
      </c>
      <c r="O220" t="str">
        <v>BARCELONA</v>
      </c>
      <c r="P220">
        <v>300</v>
      </c>
      <c r="Q220">
        <v>43534</v>
      </c>
      <c r="R220" t="str">
        <v>SI</v>
      </c>
    </row>
    <row r="221" spans="1:18" x14ac:dyDescent="0.25">
      <c r="A221" s="2">
        <v>220</v>
      </c>
      <c r="B221" t="s">
        <v>14</v>
      </c>
      <c r="C221" t="s">
        <v>24</v>
      </c>
      <c r="D221" t="s">
        <v>9</v>
      </c>
      <c r="E221" s="3">
        <v>8500</v>
      </c>
      <c r="F221" s="4">
        <v>44494</v>
      </c>
      <c r="G221" s="2" t="s">
        <v>10</v>
      </c>
      <c r="L221">
        <v>288</v>
      </c>
      <c r="M221" t="str">
        <v>PROYECTO</v>
      </c>
      <c r="N221" t="str">
        <v>CLIENTE-0001</v>
      </c>
      <c r="O221" t="str">
        <v>MADRID</v>
      </c>
      <c r="P221">
        <v>300</v>
      </c>
      <c r="Q221">
        <v>44200</v>
      </c>
      <c r="R221" t="str">
        <v>SI</v>
      </c>
    </row>
    <row r="222" spans="1:18" x14ac:dyDescent="0.25">
      <c r="A222" s="2">
        <v>221</v>
      </c>
      <c r="B222" t="s">
        <v>16</v>
      </c>
      <c r="C222" t="s">
        <v>8</v>
      </c>
      <c r="D222" t="s">
        <v>9</v>
      </c>
      <c r="E222" s="3">
        <v>1200</v>
      </c>
      <c r="F222" s="4">
        <v>44418</v>
      </c>
      <c r="G222" s="2" t="s">
        <v>10</v>
      </c>
      <c r="L222">
        <v>292</v>
      </c>
      <c r="M222" t="str">
        <v>EQUIPOS</v>
      </c>
      <c r="N222" t="str">
        <v>CLIENTE-0003</v>
      </c>
      <c r="O222" t="str">
        <v>MADRID</v>
      </c>
      <c r="P222">
        <v>300</v>
      </c>
      <c r="Q222">
        <v>43716</v>
      </c>
      <c r="R222" t="str">
        <v>SI</v>
      </c>
    </row>
    <row r="223" spans="1:18" x14ac:dyDescent="0.25">
      <c r="A223" s="2">
        <v>222</v>
      </c>
      <c r="B223" t="s">
        <v>18</v>
      </c>
      <c r="C223" t="s">
        <v>12</v>
      </c>
      <c r="D223" t="s">
        <v>13</v>
      </c>
      <c r="E223" s="3">
        <v>300</v>
      </c>
      <c r="F223" s="4">
        <v>44395</v>
      </c>
      <c r="G223" s="2" t="s">
        <v>10</v>
      </c>
      <c r="L223">
        <v>294</v>
      </c>
      <c r="M223" t="str">
        <v>FORMACION</v>
      </c>
      <c r="N223" t="str">
        <v>CLIENTE-0005</v>
      </c>
      <c r="O223" t="str">
        <v>BARCELONA</v>
      </c>
      <c r="P223">
        <v>300</v>
      </c>
      <c r="Q223">
        <v>44133</v>
      </c>
      <c r="R223" t="str">
        <v>SI</v>
      </c>
    </row>
    <row r="224" spans="1:18" x14ac:dyDescent="0.25">
      <c r="A224" s="2">
        <v>223</v>
      </c>
      <c r="B224" t="s">
        <v>20</v>
      </c>
      <c r="C224" t="s">
        <v>15</v>
      </c>
      <c r="D224" t="s">
        <v>13</v>
      </c>
      <c r="E224" s="3">
        <v>200</v>
      </c>
      <c r="F224" s="4">
        <v>44495</v>
      </c>
      <c r="G224" s="2" t="s">
        <v>26</v>
      </c>
      <c r="L224">
        <v>299</v>
      </c>
      <c r="M224" t="str">
        <v>CONSULTORIA</v>
      </c>
      <c r="N224" t="str">
        <v>CLIENTE-0010</v>
      </c>
      <c r="O224" t="str">
        <v>MADRID</v>
      </c>
      <c r="P224">
        <v>300</v>
      </c>
      <c r="Q224">
        <v>44343</v>
      </c>
      <c r="R224" t="str">
        <v>SI</v>
      </c>
    </row>
    <row r="225" spans="1:18" x14ac:dyDescent="0.25">
      <c r="A225" s="2">
        <v>224</v>
      </c>
      <c r="B225" t="s">
        <v>7</v>
      </c>
      <c r="C225" t="s">
        <v>17</v>
      </c>
      <c r="D225" t="s">
        <v>13</v>
      </c>
      <c r="E225" s="3">
        <v>150</v>
      </c>
      <c r="F225" s="4">
        <v>43873</v>
      </c>
      <c r="G225" s="2" t="s">
        <v>26</v>
      </c>
      <c r="L225">
        <v>303</v>
      </c>
      <c r="M225" t="str">
        <v>PROGRAMA</v>
      </c>
      <c r="N225" t="str">
        <v>CLIENTE-0006</v>
      </c>
      <c r="O225" t="str">
        <v>BARCELONA</v>
      </c>
      <c r="P225">
        <v>300</v>
      </c>
      <c r="Q225">
        <v>43507</v>
      </c>
      <c r="R225" t="str">
        <v>SI</v>
      </c>
    </row>
    <row r="226" spans="1:18" x14ac:dyDescent="0.25">
      <c r="A226" s="2">
        <v>225</v>
      </c>
      <c r="B226" t="s">
        <v>11</v>
      </c>
      <c r="C226" t="s">
        <v>19</v>
      </c>
      <c r="D226" t="s">
        <v>9</v>
      </c>
      <c r="E226" s="3">
        <v>120</v>
      </c>
      <c r="F226" s="4">
        <v>44422</v>
      </c>
      <c r="G226" s="2" t="s">
        <v>26</v>
      </c>
      <c r="L226">
        <v>305</v>
      </c>
      <c r="M226" t="str">
        <v>CONSULTORIA</v>
      </c>
      <c r="N226" t="str">
        <v>CLIENTE-0008</v>
      </c>
      <c r="O226" t="str">
        <v>ALICANTE</v>
      </c>
      <c r="P226">
        <v>300</v>
      </c>
      <c r="Q226">
        <v>43683</v>
      </c>
      <c r="R226" t="str">
        <v>NO</v>
      </c>
    </row>
    <row r="227" spans="1:18" x14ac:dyDescent="0.25">
      <c r="A227" s="2">
        <v>226</v>
      </c>
      <c r="B227" t="s">
        <v>14</v>
      </c>
      <c r="C227" t="s">
        <v>8</v>
      </c>
      <c r="D227" t="s">
        <v>9</v>
      </c>
      <c r="E227" s="3">
        <v>300</v>
      </c>
      <c r="F227" s="4">
        <v>43777</v>
      </c>
      <c r="G227" s="2" t="s">
        <v>26</v>
      </c>
      <c r="L227">
        <v>334</v>
      </c>
      <c r="M227" t="str">
        <v>DESARROLLO</v>
      </c>
      <c r="N227" t="str">
        <v>CLIENTE-0005</v>
      </c>
      <c r="O227" t="str">
        <v>BARCELONA</v>
      </c>
      <c r="P227">
        <v>300</v>
      </c>
      <c r="Q227">
        <v>44310</v>
      </c>
      <c r="R227" t="str">
        <v>SI</v>
      </c>
    </row>
    <row r="228" spans="1:18" x14ac:dyDescent="0.25">
      <c r="A228" s="2">
        <v>227</v>
      </c>
      <c r="B228" t="s">
        <v>16</v>
      </c>
      <c r="C228" t="s">
        <v>12</v>
      </c>
      <c r="D228" t="s">
        <v>13</v>
      </c>
      <c r="E228" s="3">
        <v>350</v>
      </c>
      <c r="F228" s="4">
        <v>43717</v>
      </c>
      <c r="G228" s="2" t="s">
        <v>26</v>
      </c>
      <c r="L228">
        <v>338</v>
      </c>
      <c r="M228" t="str">
        <v>FORMACION</v>
      </c>
      <c r="N228" t="str">
        <v>CLIENTE-0009</v>
      </c>
      <c r="O228" t="str">
        <v>ALICANTE</v>
      </c>
      <c r="P228">
        <v>300</v>
      </c>
      <c r="Q228">
        <v>43836</v>
      </c>
      <c r="R228" t="str">
        <v>SI</v>
      </c>
    </row>
    <row r="229" spans="1:18" x14ac:dyDescent="0.25">
      <c r="A229" s="2">
        <v>228</v>
      </c>
      <c r="B229" t="s">
        <v>18</v>
      </c>
      <c r="C229" t="s">
        <v>12</v>
      </c>
      <c r="D229" t="s">
        <v>13</v>
      </c>
      <c r="E229" s="3">
        <v>300</v>
      </c>
      <c r="F229" s="4">
        <v>43549</v>
      </c>
      <c r="G229" s="2" t="s">
        <v>26</v>
      </c>
      <c r="L229">
        <v>340</v>
      </c>
      <c r="M229" t="str">
        <v>DESARROLLO</v>
      </c>
      <c r="N229" t="str">
        <v>CLIENTE-0004</v>
      </c>
      <c r="O229" t="str">
        <v>MADRID</v>
      </c>
      <c r="P229">
        <v>300</v>
      </c>
      <c r="Q229">
        <v>44155</v>
      </c>
      <c r="R229" t="str">
        <v>SI</v>
      </c>
    </row>
    <row r="230" spans="1:18" x14ac:dyDescent="0.25">
      <c r="A230" s="2">
        <v>229</v>
      </c>
      <c r="B230" t="s">
        <v>20</v>
      </c>
      <c r="C230" t="s">
        <v>15</v>
      </c>
      <c r="D230" t="s">
        <v>13</v>
      </c>
      <c r="E230" s="3">
        <v>120</v>
      </c>
      <c r="F230" s="4">
        <v>44410</v>
      </c>
      <c r="G230" s="2" t="s">
        <v>10</v>
      </c>
      <c r="L230">
        <v>357</v>
      </c>
      <c r="M230" t="str">
        <v>DESARROLLO</v>
      </c>
      <c r="N230" t="str">
        <v>CLIENTE-0003</v>
      </c>
      <c r="O230" t="str">
        <v>MADRID</v>
      </c>
      <c r="P230">
        <v>300</v>
      </c>
      <c r="Q230">
        <v>44102</v>
      </c>
      <c r="R230" t="str">
        <v>SI</v>
      </c>
    </row>
    <row r="231" spans="1:18" x14ac:dyDescent="0.25">
      <c r="A231" s="2">
        <v>230</v>
      </c>
      <c r="B231" t="s">
        <v>7</v>
      </c>
      <c r="C231" t="s">
        <v>17</v>
      </c>
      <c r="D231" t="s">
        <v>13</v>
      </c>
      <c r="E231" s="3">
        <v>150</v>
      </c>
      <c r="F231" s="4">
        <v>44023</v>
      </c>
      <c r="G231" s="2" t="s">
        <v>10</v>
      </c>
      <c r="L231">
        <v>361</v>
      </c>
      <c r="M231" t="str">
        <v>DESARROLLO</v>
      </c>
      <c r="N231" t="str">
        <v>CLIENTE-0007</v>
      </c>
      <c r="O231" t="str">
        <v>BARCELONA</v>
      </c>
      <c r="P231">
        <v>300</v>
      </c>
      <c r="Q231">
        <v>43467</v>
      </c>
      <c r="R231" t="str">
        <v>NO</v>
      </c>
    </row>
    <row r="232" spans="1:18" x14ac:dyDescent="0.25">
      <c r="A232" s="2">
        <v>231</v>
      </c>
      <c r="B232" t="s">
        <v>11</v>
      </c>
      <c r="C232" t="s">
        <v>21</v>
      </c>
      <c r="D232" t="s">
        <v>22</v>
      </c>
      <c r="E232" s="3">
        <v>1200</v>
      </c>
      <c r="F232" s="4">
        <v>43959</v>
      </c>
      <c r="G232" s="2" t="s">
        <v>10</v>
      </c>
      <c r="L232">
        <v>363</v>
      </c>
      <c r="M232" t="str">
        <v>EQUIPOS</v>
      </c>
      <c r="N232" t="str">
        <v>CLIENTE-0009</v>
      </c>
      <c r="O232" t="str">
        <v>ALICANTE</v>
      </c>
      <c r="P232">
        <v>300</v>
      </c>
      <c r="Q232">
        <v>43543</v>
      </c>
      <c r="R232" t="str">
        <v>NO</v>
      </c>
    </row>
    <row r="233" spans="1:18" x14ac:dyDescent="0.25">
      <c r="A233" s="2">
        <v>232</v>
      </c>
      <c r="B233" t="s">
        <v>14</v>
      </c>
      <c r="C233" t="s">
        <v>23</v>
      </c>
      <c r="D233" t="s">
        <v>22</v>
      </c>
      <c r="E233" s="3">
        <v>800</v>
      </c>
      <c r="F233" s="4">
        <v>44052</v>
      </c>
      <c r="G233" s="2" t="s">
        <v>10</v>
      </c>
      <c r="L233">
        <v>368</v>
      </c>
      <c r="M233" t="str">
        <v>PROYECTO</v>
      </c>
      <c r="N233" t="str">
        <v>CLIENTE-0006</v>
      </c>
      <c r="O233" t="str">
        <v>BARCELONA</v>
      </c>
      <c r="P233">
        <v>300</v>
      </c>
      <c r="Q233">
        <v>44222</v>
      </c>
      <c r="R233" t="str">
        <v>SI</v>
      </c>
    </row>
    <row r="234" spans="1:18" x14ac:dyDescent="0.25">
      <c r="A234" s="2">
        <v>233</v>
      </c>
      <c r="B234" t="s">
        <v>16</v>
      </c>
      <c r="C234" t="s">
        <v>24</v>
      </c>
      <c r="D234" t="s">
        <v>9</v>
      </c>
      <c r="E234" s="3">
        <v>750</v>
      </c>
      <c r="F234" s="4">
        <v>44527</v>
      </c>
      <c r="G234" s="2" t="s">
        <v>10</v>
      </c>
      <c r="L234">
        <v>372</v>
      </c>
      <c r="M234" t="str">
        <v>CONSULTORIA</v>
      </c>
      <c r="N234" t="str">
        <v>CLIENTE-0010</v>
      </c>
      <c r="O234" t="str">
        <v>MADRID</v>
      </c>
      <c r="P234">
        <v>300</v>
      </c>
      <c r="Q234">
        <v>43611</v>
      </c>
      <c r="R234" t="str">
        <v>SI</v>
      </c>
    </row>
    <row r="235" spans="1:18" x14ac:dyDescent="0.25">
      <c r="A235" s="2">
        <v>234</v>
      </c>
      <c r="B235" t="s">
        <v>18</v>
      </c>
      <c r="C235" t="s">
        <v>25</v>
      </c>
      <c r="D235" t="s">
        <v>9</v>
      </c>
      <c r="E235" s="3">
        <v>4500</v>
      </c>
      <c r="F235" s="4">
        <v>43935</v>
      </c>
      <c r="G235" s="2" t="s">
        <v>10</v>
      </c>
      <c r="L235">
        <v>376</v>
      </c>
      <c r="M235" t="str">
        <v>PROGRAMA</v>
      </c>
      <c r="N235" t="str">
        <v>CLIENTE-0002</v>
      </c>
      <c r="O235" t="str">
        <v>ALICANTE</v>
      </c>
      <c r="P235">
        <v>300</v>
      </c>
      <c r="Q235">
        <v>44034</v>
      </c>
      <c r="R235" t="str">
        <v>SI</v>
      </c>
    </row>
    <row r="236" spans="1:18" x14ac:dyDescent="0.25">
      <c r="A236" s="2">
        <v>235</v>
      </c>
      <c r="B236" t="s">
        <v>20</v>
      </c>
      <c r="C236" t="s">
        <v>24</v>
      </c>
      <c r="D236" t="s">
        <v>9</v>
      </c>
      <c r="E236" s="3">
        <v>500</v>
      </c>
      <c r="F236" s="4">
        <v>44424</v>
      </c>
      <c r="G236" s="2" t="s">
        <v>10</v>
      </c>
      <c r="L236">
        <v>380</v>
      </c>
      <c r="M236" t="str">
        <v>PROYECTO</v>
      </c>
      <c r="N236" t="str">
        <v>CLIENTE-0006</v>
      </c>
      <c r="O236" t="str">
        <v>BARCELONA</v>
      </c>
      <c r="P236">
        <v>300</v>
      </c>
      <c r="Q236">
        <v>44136</v>
      </c>
      <c r="R236" t="str">
        <v>NO</v>
      </c>
    </row>
    <row r="237" spans="1:18" x14ac:dyDescent="0.25">
      <c r="A237" s="2">
        <v>236</v>
      </c>
      <c r="B237" t="s">
        <v>7</v>
      </c>
      <c r="C237" t="s">
        <v>25</v>
      </c>
      <c r="D237" t="s">
        <v>9</v>
      </c>
      <c r="E237" s="3">
        <v>750</v>
      </c>
      <c r="F237" s="4">
        <v>44047</v>
      </c>
      <c r="G237" s="2" t="s">
        <v>10</v>
      </c>
      <c r="L237">
        <v>382</v>
      </c>
      <c r="M237" t="str">
        <v>PROGRAMA</v>
      </c>
      <c r="N237" t="str">
        <v>CLIENTE-0008</v>
      </c>
      <c r="O237" t="str">
        <v>ALICANTE</v>
      </c>
      <c r="P237">
        <v>300</v>
      </c>
      <c r="Q237">
        <v>44164</v>
      </c>
      <c r="R237" t="str">
        <v>NO</v>
      </c>
    </row>
    <row r="238" spans="1:18" x14ac:dyDescent="0.25">
      <c r="A238" s="2">
        <v>237</v>
      </c>
      <c r="B238" t="s">
        <v>11</v>
      </c>
      <c r="C238" t="s">
        <v>27</v>
      </c>
      <c r="D238" t="s">
        <v>22</v>
      </c>
      <c r="E238" s="3">
        <v>950</v>
      </c>
      <c r="F238" s="4">
        <v>43467</v>
      </c>
      <c r="G238" s="2" t="s">
        <v>10</v>
      </c>
      <c r="L238">
        <v>399</v>
      </c>
      <c r="M238" t="str">
        <v>FORMACION</v>
      </c>
      <c r="N238" t="str">
        <v>CLIENTE-0001</v>
      </c>
      <c r="O238" t="str">
        <v>MADRID</v>
      </c>
      <c r="P238">
        <v>300</v>
      </c>
      <c r="Q238">
        <v>43963</v>
      </c>
      <c r="R238" t="str">
        <v>SI</v>
      </c>
    </row>
    <row r="239" spans="1:18" x14ac:dyDescent="0.25">
      <c r="A239" s="2">
        <v>238</v>
      </c>
      <c r="B239" t="s">
        <v>14</v>
      </c>
      <c r="C239" t="s">
        <v>19</v>
      </c>
      <c r="D239" t="s">
        <v>9</v>
      </c>
      <c r="E239" s="3">
        <v>680</v>
      </c>
      <c r="F239" s="4">
        <v>43572</v>
      </c>
      <c r="G239" s="2" t="s">
        <v>10</v>
      </c>
      <c r="L239">
        <v>403</v>
      </c>
      <c r="M239" t="str">
        <v>EQUIPOS</v>
      </c>
      <c r="N239" t="str">
        <v>CLIENTE-0003</v>
      </c>
      <c r="O239" t="str">
        <v>MADRID</v>
      </c>
      <c r="P239">
        <v>300</v>
      </c>
      <c r="Q239">
        <v>44250</v>
      </c>
      <c r="R239" t="str">
        <v>SI</v>
      </c>
    </row>
    <row r="240" spans="1:18" x14ac:dyDescent="0.25">
      <c r="A240" s="2">
        <v>239</v>
      </c>
      <c r="B240" t="s">
        <v>16</v>
      </c>
      <c r="C240" t="s">
        <v>8</v>
      </c>
      <c r="D240" t="s">
        <v>9</v>
      </c>
      <c r="E240" s="3">
        <v>950</v>
      </c>
      <c r="F240" s="4">
        <v>43517</v>
      </c>
      <c r="G240" s="2" t="s">
        <v>10</v>
      </c>
      <c r="L240">
        <v>405</v>
      </c>
      <c r="M240" t="str">
        <v>FORMACION</v>
      </c>
      <c r="N240" t="str">
        <v>CLIENTE-0005</v>
      </c>
      <c r="O240" t="str">
        <v>BARCELONA</v>
      </c>
      <c r="P240">
        <v>300</v>
      </c>
      <c r="Q240">
        <v>43596</v>
      </c>
      <c r="R240" t="str">
        <v>SI</v>
      </c>
    </row>
    <row r="241" spans="1:18" x14ac:dyDescent="0.25">
      <c r="A241" s="2">
        <v>240</v>
      </c>
      <c r="B241" t="s">
        <v>18</v>
      </c>
      <c r="C241" t="s">
        <v>12</v>
      </c>
      <c r="D241" t="s">
        <v>13</v>
      </c>
      <c r="E241" s="3">
        <v>1500</v>
      </c>
      <c r="F241" s="4">
        <v>43922</v>
      </c>
      <c r="G241" s="2" t="s">
        <v>10</v>
      </c>
      <c r="L241">
        <v>410</v>
      </c>
      <c r="M241" t="str">
        <v>PROGRAMA</v>
      </c>
      <c r="N241" t="str">
        <v>CLIENTE-0010</v>
      </c>
      <c r="O241" t="str">
        <v>MADRID</v>
      </c>
      <c r="P241">
        <v>300</v>
      </c>
      <c r="Q241">
        <v>44408</v>
      </c>
      <c r="R241" t="str">
        <v>NO</v>
      </c>
    </row>
    <row r="242" spans="1:18" x14ac:dyDescent="0.25">
      <c r="A242" s="2">
        <v>241</v>
      </c>
      <c r="B242" t="s">
        <v>20</v>
      </c>
      <c r="C242" t="s">
        <v>15</v>
      </c>
      <c r="D242" t="s">
        <v>13</v>
      </c>
      <c r="E242" s="3">
        <v>5000</v>
      </c>
      <c r="F242" s="4">
        <v>44340</v>
      </c>
      <c r="G242" s="2" t="s">
        <v>10</v>
      </c>
      <c r="L242">
        <v>414</v>
      </c>
      <c r="M242" t="str">
        <v>DESARROLLO</v>
      </c>
      <c r="N242" t="str">
        <v>CLIENTE-0006</v>
      </c>
      <c r="O242" t="str">
        <v>BARCELONA</v>
      </c>
      <c r="P242">
        <v>300</v>
      </c>
      <c r="Q242">
        <v>44337</v>
      </c>
      <c r="R242" t="str">
        <v>NO</v>
      </c>
    </row>
    <row r="243" spans="1:18" x14ac:dyDescent="0.25">
      <c r="A243" s="2">
        <v>242</v>
      </c>
      <c r="B243" t="s">
        <v>7</v>
      </c>
      <c r="C243" t="s">
        <v>17</v>
      </c>
      <c r="D243" t="s">
        <v>13</v>
      </c>
      <c r="E243" s="3">
        <v>6500</v>
      </c>
      <c r="F243" s="4">
        <v>44135</v>
      </c>
      <c r="G243" s="2" t="s">
        <v>10</v>
      </c>
      <c r="L243">
        <v>416</v>
      </c>
      <c r="M243" t="str">
        <v>EQUIPOS</v>
      </c>
      <c r="N243" t="str">
        <v>CLIENTE-0008</v>
      </c>
      <c r="O243" t="str">
        <v>ALICANTE</v>
      </c>
      <c r="P243">
        <v>300</v>
      </c>
      <c r="Q243">
        <v>43666</v>
      </c>
      <c r="R243" t="str">
        <v>SI</v>
      </c>
    </row>
    <row r="244" spans="1:18" x14ac:dyDescent="0.25">
      <c r="A244" s="2">
        <v>243</v>
      </c>
      <c r="B244" t="s">
        <v>11</v>
      </c>
      <c r="C244" t="s">
        <v>21</v>
      </c>
      <c r="D244" t="s">
        <v>22</v>
      </c>
      <c r="E244" s="3">
        <v>8500</v>
      </c>
      <c r="F244" s="4">
        <v>44351</v>
      </c>
      <c r="G244" s="2" t="s">
        <v>10</v>
      </c>
      <c r="L244">
        <v>445</v>
      </c>
      <c r="M244" t="str">
        <v>DESARROLLO</v>
      </c>
      <c r="N244" t="str">
        <v>CLIENTE-0010</v>
      </c>
      <c r="O244" t="str">
        <v>MADRID</v>
      </c>
      <c r="P244">
        <v>300</v>
      </c>
      <c r="Q244">
        <v>43644</v>
      </c>
      <c r="R244" t="str">
        <v>SI</v>
      </c>
    </row>
    <row r="245" spans="1:18" x14ac:dyDescent="0.25">
      <c r="A245" s="2">
        <v>244</v>
      </c>
      <c r="B245" t="s">
        <v>14</v>
      </c>
      <c r="C245" t="s">
        <v>23</v>
      </c>
      <c r="D245" t="s">
        <v>22</v>
      </c>
      <c r="E245" s="3">
        <v>1200</v>
      </c>
      <c r="F245" s="4">
        <v>44481</v>
      </c>
      <c r="G245" s="2" t="s">
        <v>10</v>
      </c>
      <c r="L245">
        <v>449</v>
      </c>
      <c r="M245" t="str">
        <v>DESARROLLO</v>
      </c>
      <c r="N245" t="str">
        <v>CLIENTE-0004</v>
      </c>
      <c r="O245" t="str">
        <v>MADRID</v>
      </c>
      <c r="P245">
        <v>300</v>
      </c>
      <c r="Q245">
        <v>44040</v>
      </c>
      <c r="R245" t="str">
        <v>SI</v>
      </c>
    </row>
    <row r="246" spans="1:18" x14ac:dyDescent="0.25">
      <c r="A246" s="2">
        <v>245</v>
      </c>
      <c r="B246" t="s">
        <v>20</v>
      </c>
      <c r="C246" t="s">
        <v>24</v>
      </c>
      <c r="D246" t="s">
        <v>9</v>
      </c>
      <c r="E246" s="3">
        <v>300</v>
      </c>
      <c r="F246" s="4">
        <v>44514</v>
      </c>
      <c r="G246" s="2" t="s">
        <v>10</v>
      </c>
      <c r="L246">
        <v>451</v>
      </c>
      <c r="M246" t="str">
        <v>EQUIPOS</v>
      </c>
      <c r="N246" t="str">
        <v>CLIENTE-0006</v>
      </c>
      <c r="O246" t="str">
        <v>BARCELONA</v>
      </c>
      <c r="P246">
        <v>300</v>
      </c>
      <c r="Q246">
        <v>44450</v>
      </c>
      <c r="R246" t="str">
        <v>NO</v>
      </c>
    </row>
    <row r="247" spans="1:18" x14ac:dyDescent="0.25">
      <c r="A247" s="2">
        <v>246</v>
      </c>
      <c r="B247" t="s">
        <v>7</v>
      </c>
      <c r="C247" t="s">
        <v>8</v>
      </c>
      <c r="D247" t="s">
        <v>9</v>
      </c>
      <c r="E247" s="3">
        <v>200</v>
      </c>
      <c r="F247" s="4">
        <v>43940</v>
      </c>
      <c r="G247" s="2" t="s">
        <v>10</v>
      </c>
      <c r="L247">
        <v>468</v>
      </c>
      <c r="M247" t="str">
        <v>PROYECTO</v>
      </c>
      <c r="N247" t="str">
        <v>CLIENTE-0003</v>
      </c>
      <c r="O247" t="str">
        <v>MADRID</v>
      </c>
      <c r="P247">
        <v>300</v>
      </c>
      <c r="Q247">
        <v>43675</v>
      </c>
      <c r="R247" t="str">
        <v>SI</v>
      </c>
    </row>
    <row r="248" spans="1:18" x14ac:dyDescent="0.25">
      <c r="A248" s="2">
        <v>247</v>
      </c>
      <c r="B248" t="s">
        <v>11</v>
      </c>
      <c r="C248" t="s">
        <v>12</v>
      </c>
      <c r="D248" t="s">
        <v>13</v>
      </c>
      <c r="E248" s="3">
        <v>150</v>
      </c>
      <c r="F248" s="4">
        <v>43778</v>
      </c>
      <c r="G248" s="2" t="s">
        <v>10</v>
      </c>
      <c r="L248">
        <v>472</v>
      </c>
      <c r="M248" t="str">
        <v>CONSULTORIA</v>
      </c>
      <c r="N248" t="str">
        <v>CLIENTE-0007</v>
      </c>
      <c r="O248" t="str">
        <v>BARCELONA</v>
      </c>
      <c r="P248">
        <v>300</v>
      </c>
      <c r="Q248">
        <v>43543</v>
      </c>
      <c r="R248" t="str">
        <v>SI</v>
      </c>
    </row>
    <row r="249" spans="1:18" x14ac:dyDescent="0.25">
      <c r="A249" s="2">
        <v>248</v>
      </c>
      <c r="B249" t="s">
        <v>14</v>
      </c>
      <c r="C249" t="s">
        <v>12</v>
      </c>
      <c r="D249" t="s">
        <v>13</v>
      </c>
      <c r="E249" s="3">
        <v>120</v>
      </c>
      <c r="F249" s="4">
        <v>44152</v>
      </c>
      <c r="G249" s="2" t="s">
        <v>10</v>
      </c>
      <c r="L249">
        <v>474</v>
      </c>
      <c r="M249" t="str">
        <v>PROYECTO</v>
      </c>
      <c r="N249" t="str">
        <v>CLIENTE-0009</v>
      </c>
      <c r="O249" t="str">
        <v>ALICANTE</v>
      </c>
      <c r="P249">
        <v>300</v>
      </c>
      <c r="Q249">
        <v>44408</v>
      </c>
      <c r="R249" t="str">
        <v>SI</v>
      </c>
    </row>
    <row r="250" spans="1:18" x14ac:dyDescent="0.25">
      <c r="A250" s="2">
        <v>249</v>
      </c>
      <c r="B250" t="s">
        <v>16</v>
      </c>
      <c r="C250" t="s">
        <v>15</v>
      </c>
      <c r="D250" t="s">
        <v>13</v>
      </c>
      <c r="E250" s="3">
        <v>300</v>
      </c>
      <c r="F250" s="4">
        <v>43669</v>
      </c>
      <c r="G250" s="2" t="s">
        <v>10</v>
      </c>
      <c r="L250">
        <v>479</v>
      </c>
      <c r="M250" t="str">
        <v>DESARROLLO</v>
      </c>
      <c r="N250" t="str">
        <v>CLIENTE-0007</v>
      </c>
      <c r="O250" t="str">
        <v>BARCELONA</v>
      </c>
      <c r="P250">
        <v>300</v>
      </c>
      <c r="Q250">
        <v>44036</v>
      </c>
      <c r="R250" t="str">
        <v>NO</v>
      </c>
    </row>
    <row r="251" spans="1:18" x14ac:dyDescent="0.25">
      <c r="A251" s="2">
        <v>250</v>
      </c>
      <c r="B251" t="s">
        <v>18</v>
      </c>
      <c r="C251" t="s">
        <v>17</v>
      </c>
      <c r="D251" t="s">
        <v>13</v>
      </c>
      <c r="E251" s="3">
        <v>350</v>
      </c>
      <c r="F251" s="4">
        <v>43852</v>
      </c>
      <c r="G251" s="2" t="s">
        <v>26</v>
      </c>
      <c r="L251">
        <v>483</v>
      </c>
      <c r="M251" t="str">
        <v>DESARROLLO</v>
      </c>
      <c r="N251" t="str">
        <v>CLIENTE-0005</v>
      </c>
      <c r="O251" t="str">
        <v>BARCELONA</v>
      </c>
      <c r="P251">
        <v>300</v>
      </c>
      <c r="Q251">
        <v>43599</v>
      </c>
      <c r="R251" t="str">
        <v>NO</v>
      </c>
    </row>
    <row r="252" spans="1:18" x14ac:dyDescent="0.25">
      <c r="A252" s="2">
        <v>251</v>
      </c>
      <c r="B252" t="s">
        <v>20</v>
      </c>
      <c r="C252" t="s">
        <v>21</v>
      </c>
      <c r="D252" t="s">
        <v>22</v>
      </c>
      <c r="E252" s="3">
        <v>300</v>
      </c>
      <c r="F252" s="4">
        <v>43630</v>
      </c>
      <c r="G252" s="2" t="s">
        <v>26</v>
      </c>
      <c r="L252">
        <v>485</v>
      </c>
      <c r="M252" t="str">
        <v>EQUIPOS</v>
      </c>
      <c r="N252" t="str">
        <v>CLIENTE-0007</v>
      </c>
      <c r="O252" t="str">
        <v>BARCELONA</v>
      </c>
      <c r="P252">
        <v>300</v>
      </c>
      <c r="Q252">
        <v>43510</v>
      </c>
      <c r="R252" t="str">
        <v>SI</v>
      </c>
    </row>
    <row r="253" spans="1:18" x14ac:dyDescent="0.25">
      <c r="A253" s="2">
        <v>252</v>
      </c>
      <c r="B253" t="s">
        <v>7</v>
      </c>
      <c r="C253" t="s">
        <v>23</v>
      </c>
      <c r="D253" t="s">
        <v>22</v>
      </c>
      <c r="E253" s="3">
        <v>120</v>
      </c>
      <c r="F253" s="4">
        <v>44143</v>
      </c>
      <c r="G253" s="2" t="s">
        <v>26</v>
      </c>
      <c r="L253">
        <v>514</v>
      </c>
      <c r="M253" t="str">
        <v>DESARROLLO</v>
      </c>
      <c r="N253" t="str">
        <v>CLIENTE-0004</v>
      </c>
      <c r="O253" t="str">
        <v>MADRID</v>
      </c>
      <c r="P253">
        <v>300</v>
      </c>
      <c r="Q253">
        <v>44382</v>
      </c>
      <c r="R253" t="str">
        <v>SI</v>
      </c>
    </row>
    <row r="254" spans="1:18" x14ac:dyDescent="0.25">
      <c r="A254" s="2">
        <v>253</v>
      </c>
      <c r="B254" t="s">
        <v>11</v>
      </c>
      <c r="C254" t="s">
        <v>24</v>
      </c>
      <c r="D254" t="s">
        <v>9</v>
      </c>
      <c r="E254" s="3">
        <v>150</v>
      </c>
      <c r="F254" s="4">
        <v>43528</v>
      </c>
      <c r="G254" s="2" t="s">
        <v>26</v>
      </c>
      <c r="L254">
        <v>518</v>
      </c>
      <c r="M254" t="str">
        <v>PROYECTO</v>
      </c>
      <c r="N254" t="str">
        <v>CLIENTE-0008</v>
      </c>
      <c r="O254" t="str">
        <v>ALICANTE</v>
      </c>
      <c r="P254">
        <v>300</v>
      </c>
      <c r="Q254">
        <v>44332</v>
      </c>
      <c r="R254" t="str">
        <v>SI</v>
      </c>
    </row>
    <row r="255" spans="1:18" x14ac:dyDescent="0.25">
      <c r="A255" s="2">
        <v>254</v>
      </c>
      <c r="B255" t="s">
        <v>14</v>
      </c>
      <c r="C255" t="s">
        <v>25</v>
      </c>
      <c r="D255" t="s">
        <v>9</v>
      </c>
      <c r="E255" s="3">
        <v>8500</v>
      </c>
      <c r="F255" s="4">
        <v>43582</v>
      </c>
      <c r="G255" s="2" t="s">
        <v>26</v>
      </c>
      <c r="L255">
        <v>520</v>
      </c>
      <c r="M255" t="str">
        <v>PROGRAMA</v>
      </c>
      <c r="N255" t="str">
        <v>CLIENTE-0010</v>
      </c>
      <c r="O255" t="str">
        <v>MADRID</v>
      </c>
      <c r="P255">
        <v>300</v>
      </c>
      <c r="Q255">
        <v>43570</v>
      </c>
      <c r="R255" t="str">
        <v>SI</v>
      </c>
    </row>
    <row r="256" spans="1:18" x14ac:dyDescent="0.25">
      <c r="A256" s="2">
        <v>255</v>
      </c>
      <c r="B256" t="s">
        <v>16</v>
      </c>
      <c r="C256" t="s">
        <v>24</v>
      </c>
      <c r="D256" t="s">
        <v>9</v>
      </c>
      <c r="E256" s="3">
        <v>1200</v>
      </c>
      <c r="F256" s="4">
        <v>44473</v>
      </c>
      <c r="G256" s="2" t="s">
        <v>26</v>
      </c>
      <c r="L256">
        <v>537</v>
      </c>
      <c r="M256" t="str">
        <v>FORMACION</v>
      </c>
      <c r="N256" t="str">
        <v>CLIENTE-0002</v>
      </c>
      <c r="O256" t="str">
        <v>ALICANTE</v>
      </c>
      <c r="P256">
        <v>300</v>
      </c>
      <c r="Q256">
        <v>43725</v>
      </c>
      <c r="R256" t="str">
        <v>NO</v>
      </c>
    </row>
    <row r="257" spans="1:18" x14ac:dyDescent="0.25">
      <c r="A257" s="2">
        <v>256</v>
      </c>
      <c r="B257" t="s">
        <v>18</v>
      </c>
      <c r="C257" t="s">
        <v>25</v>
      </c>
      <c r="D257" t="s">
        <v>9</v>
      </c>
      <c r="E257" s="3">
        <v>300</v>
      </c>
      <c r="F257" s="4">
        <v>43853</v>
      </c>
      <c r="G257" s="2" t="s">
        <v>26</v>
      </c>
      <c r="L257">
        <v>541</v>
      </c>
      <c r="M257" t="str">
        <v>EQUIPOS</v>
      </c>
      <c r="N257" t="str">
        <v>CLIENTE-0006</v>
      </c>
      <c r="O257" t="str">
        <v>BARCELONA</v>
      </c>
      <c r="P257">
        <v>300</v>
      </c>
      <c r="Q257">
        <v>43853</v>
      </c>
      <c r="R257" t="str">
        <v>SI</v>
      </c>
    </row>
    <row r="258" spans="1:18" x14ac:dyDescent="0.25">
      <c r="A258" s="2">
        <v>257</v>
      </c>
      <c r="B258" t="s">
        <v>20</v>
      </c>
      <c r="C258" t="s">
        <v>27</v>
      </c>
      <c r="D258" t="s">
        <v>22</v>
      </c>
      <c r="E258" s="3">
        <v>200</v>
      </c>
      <c r="F258" s="4">
        <v>44488</v>
      </c>
      <c r="G258" s="2" t="s">
        <v>10</v>
      </c>
      <c r="L258">
        <v>543</v>
      </c>
      <c r="M258" t="str">
        <v>FORMACION</v>
      </c>
      <c r="N258" t="str">
        <v>CLIENTE-0008</v>
      </c>
      <c r="O258" t="str">
        <v>ALICANTE</v>
      </c>
      <c r="P258">
        <v>300</v>
      </c>
      <c r="Q258">
        <v>44090</v>
      </c>
      <c r="R258" t="str">
        <v>SI</v>
      </c>
    </row>
    <row r="259" spans="1:18" x14ac:dyDescent="0.25">
      <c r="A259" s="2">
        <v>258</v>
      </c>
      <c r="B259" t="s">
        <v>7</v>
      </c>
      <c r="C259" t="s">
        <v>19</v>
      </c>
      <c r="D259" t="s">
        <v>9</v>
      </c>
      <c r="E259" s="3">
        <v>150</v>
      </c>
      <c r="F259" s="4">
        <v>44261</v>
      </c>
      <c r="G259" s="2" t="s">
        <v>10</v>
      </c>
      <c r="L259">
        <v>548</v>
      </c>
      <c r="M259" t="str">
        <v>PROGRAMA</v>
      </c>
      <c r="N259" t="str">
        <v>CLIENTE-0005</v>
      </c>
      <c r="O259" t="str">
        <v>BARCELONA</v>
      </c>
      <c r="P259">
        <v>300</v>
      </c>
      <c r="Q259">
        <v>43829</v>
      </c>
      <c r="R259" t="str">
        <v>NO</v>
      </c>
    </row>
    <row r="260" spans="1:18" x14ac:dyDescent="0.25">
      <c r="A260" s="2">
        <v>259</v>
      </c>
      <c r="B260" t="s">
        <v>11</v>
      </c>
      <c r="C260" t="s">
        <v>8</v>
      </c>
      <c r="D260" t="s">
        <v>9</v>
      </c>
      <c r="E260" s="3">
        <v>120</v>
      </c>
      <c r="F260" s="4">
        <v>44180</v>
      </c>
      <c r="G260" s="2" t="s">
        <v>10</v>
      </c>
      <c r="L260">
        <v>552</v>
      </c>
      <c r="M260" t="str">
        <v>PROYECTO</v>
      </c>
      <c r="N260" t="str">
        <v>CLIENTE-0009</v>
      </c>
      <c r="O260" t="str">
        <v>ALICANTE</v>
      </c>
      <c r="P260">
        <v>300</v>
      </c>
      <c r="Q260">
        <v>43749</v>
      </c>
      <c r="R260" t="str">
        <v>NO</v>
      </c>
    </row>
    <row r="261" spans="1:18" x14ac:dyDescent="0.25">
      <c r="A261" s="2">
        <v>260</v>
      </c>
      <c r="B261" t="s">
        <v>14</v>
      </c>
      <c r="C261" t="s">
        <v>12</v>
      </c>
      <c r="D261" t="s">
        <v>13</v>
      </c>
      <c r="E261" s="3">
        <v>300</v>
      </c>
      <c r="F261" s="4">
        <v>44281</v>
      </c>
      <c r="G261" s="2" t="s">
        <v>10</v>
      </c>
      <c r="L261">
        <v>554</v>
      </c>
      <c r="M261" t="str">
        <v>PROGRAMA</v>
      </c>
      <c r="N261" t="str">
        <v>CLIENTE-0001</v>
      </c>
      <c r="O261" t="str">
        <v>MADRID</v>
      </c>
      <c r="P261">
        <v>300</v>
      </c>
      <c r="Q261">
        <v>43959</v>
      </c>
      <c r="R261" t="str">
        <v>SI</v>
      </c>
    </row>
    <row r="262" spans="1:18" x14ac:dyDescent="0.25">
      <c r="A262" s="2">
        <v>261</v>
      </c>
      <c r="B262" t="s">
        <v>16</v>
      </c>
      <c r="C262" t="s">
        <v>15</v>
      </c>
      <c r="D262" t="s">
        <v>13</v>
      </c>
      <c r="E262" s="3">
        <v>350</v>
      </c>
      <c r="F262" s="4">
        <v>44411</v>
      </c>
      <c r="G262" s="2" t="s">
        <v>10</v>
      </c>
      <c r="L262">
        <v>583</v>
      </c>
      <c r="M262" t="str">
        <v>PROGRAMA</v>
      </c>
      <c r="N262" t="str">
        <v>CLIENTE-0008</v>
      </c>
      <c r="O262" t="str">
        <v>ALICANTE</v>
      </c>
      <c r="P262">
        <v>300</v>
      </c>
      <c r="Q262">
        <v>44371</v>
      </c>
      <c r="R262" t="str">
        <v>SI</v>
      </c>
    </row>
    <row r="263" spans="1:18" x14ac:dyDescent="0.25">
      <c r="A263" s="2">
        <v>262</v>
      </c>
      <c r="B263" t="s">
        <v>18</v>
      </c>
      <c r="C263" t="s">
        <v>17</v>
      </c>
      <c r="D263" t="s">
        <v>13</v>
      </c>
      <c r="E263" s="3">
        <v>300</v>
      </c>
      <c r="F263" s="4">
        <v>43534</v>
      </c>
      <c r="G263" s="2" t="s">
        <v>10</v>
      </c>
      <c r="L263">
        <v>587</v>
      </c>
      <c r="M263" t="str">
        <v>PROYECTO</v>
      </c>
      <c r="N263" t="str">
        <v>CLIENTE-0005</v>
      </c>
      <c r="O263" t="str">
        <v>BARCELONA</v>
      </c>
      <c r="P263">
        <v>300</v>
      </c>
      <c r="Q263">
        <v>43893</v>
      </c>
      <c r="R263" t="str">
        <v>SI</v>
      </c>
    </row>
    <row r="264" spans="1:18" x14ac:dyDescent="0.25">
      <c r="A264" s="2">
        <v>263</v>
      </c>
      <c r="B264" t="s">
        <v>20</v>
      </c>
      <c r="C264" t="s">
        <v>21</v>
      </c>
      <c r="D264" t="s">
        <v>22</v>
      </c>
      <c r="E264" s="3">
        <v>120</v>
      </c>
      <c r="F264" s="4">
        <v>43886</v>
      </c>
      <c r="G264" s="2" t="s">
        <v>10</v>
      </c>
      <c r="L264">
        <v>589</v>
      </c>
      <c r="M264" t="str">
        <v>PROGRAMA</v>
      </c>
      <c r="N264" t="str">
        <v>CLIENTE-0006</v>
      </c>
      <c r="O264" t="str">
        <v>BARCELONA</v>
      </c>
      <c r="P264">
        <v>300</v>
      </c>
      <c r="Q264">
        <v>44442</v>
      </c>
      <c r="R264" t="str">
        <v>SI</v>
      </c>
    </row>
    <row r="265" spans="1:18" x14ac:dyDescent="0.25">
      <c r="A265" s="2">
        <v>264</v>
      </c>
      <c r="B265" t="s">
        <v>7</v>
      </c>
      <c r="C265" t="s">
        <v>23</v>
      </c>
      <c r="D265" t="s">
        <v>22</v>
      </c>
      <c r="E265" s="3">
        <v>150</v>
      </c>
      <c r="F265" s="4">
        <v>44317</v>
      </c>
      <c r="G265" s="2" t="s">
        <v>10</v>
      </c>
      <c r="L265">
        <v>606</v>
      </c>
      <c r="M265" t="str">
        <v>PROYECTO</v>
      </c>
      <c r="N265" t="str">
        <v>CLIENTE-0004</v>
      </c>
      <c r="O265" t="str">
        <v>MADRID</v>
      </c>
      <c r="P265">
        <v>300</v>
      </c>
      <c r="Q265">
        <v>43592</v>
      </c>
      <c r="R265" t="str">
        <v>NO</v>
      </c>
    </row>
    <row r="266" spans="1:18" x14ac:dyDescent="0.25">
      <c r="A266" s="2">
        <v>265</v>
      </c>
      <c r="B266" t="s">
        <v>7</v>
      </c>
      <c r="C266" t="s">
        <v>24</v>
      </c>
      <c r="D266" t="s">
        <v>9</v>
      </c>
      <c r="E266" s="3">
        <v>1200</v>
      </c>
      <c r="F266" s="4">
        <v>44483</v>
      </c>
      <c r="G266" s="2" t="s">
        <v>10</v>
      </c>
      <c r="L266">
        <v>610</v>
      </c>
      <c r="M266" t="str">
        <v>CONSULTORIA</v>
      </c>
      <c r="N266" t="str">
        <v>CLIENTE-0003</v>
      </c>
      <c r="O266" t="str">
        <v>MADRID</v>
      </c>
      <c r="P266">
        <v>300</v>
      </c>
      <c r="Q266">
        <v>43872</v>
      </c>
      <c r="R266" t="str">
        <v>SI</v>
      </c>
    </row>
    <row r="267" spans="1:18" x14ac:dyDescent="0.25">
      <c r="A267" s="2">
        <v>266</v>
      </c>
      <c r="B267" t="s">
        <v>11</v>
      </c>
      <c r="C267" t="s">
        <v>8</v>
      </c>
      <c r="D267" t="s">
        <v>9</v>
      </c>
      <c r="E267" s="3">
        <v>800</v>
      </c>
      <c r="F267" s="4">
        <v>43608</v>
      </c>
      <c r="G267" s="2" t="s">
        <v>10</v>
      </c>
      <c r="L267">
        <v>612</v>
      </c>
      <c r="M267" t="str">
        <v>PROYECTO</v>
      </c>
      <c r="N267" t="str">
        <v>CLIENTE-0005</v>
      </c>
      <c r="O267" t="str">
        <v>BARCELONA</v>
      </c>
      <c r="P267">
        <v>300</v>
      </c>
      <c r="Q267">
        <v>44184</v>
      </c>
      <c r="R267" t="str">
        <v>SI</v>
      </c>
    </row>
    <row r="268" spans="1:18" x14ac:dyDescent="0.25">
      <c r="A268" s="2">
        <v>267</v>
      </c>
      <c r="B268" t="s">
        <v>14</v>
      </c>
      <c r="C268" t="s">
        <v>24</v>
      </c>
      <c r="D268" t="s">
        <v>9</v>
      </c>
      <c r="E268" s="3">
        <v>750</v>
      </c>
      <c r="F268" s="4">
        <v>43570</v>
      </c>
      <c r="G268" s="2" t="s">
        <v>10</v>
      </c>
      <c r="L268">
        <v>617</v>
      </c>
      <c r="M268" t="str">
        <v>EQUIPOS</v>
      </c>
      <c r="N268" t="str">
        <v>CLIENTE-0009</v>
      </c>
      <c r="O268" t="str">
        <v>ALICANTE</v>
      </c>
      <c r="P268">
        <v>300</v>
      </c>
      <c r="Q268">
        <v>44012</v>
      </c>
      <c r="R268" t="str">
        <v>NO</v>
      </c>
    </row>
    <row r="269" spans="1:18" x14ac:dyDescent="0.25">
      <c r="A269" s="2">
        <v>268</v>
      </c>
      <c r="B269" t="s">
        <v>16</v>
      </c>
      <c r="C269" t="s">
        <v>25</v>
      </c>
      <c r="D269" t="s">
        <v>9</v>
      </c>
      <c r="E269" s="3">
        <v>4500</v>
      </c>
      <c r="F269" s="4">
        <v>44506</v>
      </c>
      <c r="G269" s="2" t="s">
        <v>10</v>
      </c>
      <c r="L269">
        <v>621</v>
      </c>
      <c r="M269" t="str">
        <v>DESARROLLO</v>
      </c>
      <c r="N269" t="str">
        <v>CLIENTE-0001</v>
      </c>
      <c r="O269" t="str">
        <v>MADRID</v>
      </c>
      <c r="P269">
        <v>300</v>
      </c>
      <c r="Q269">
        <v>43604</v>
      </c>
      <c r="R269" t="str">
        <v>NO</v>
      </c>
    </row>
    <row r="270" spans="1:18" x14ac:dyDescent="0.25">
      <c r="A270" s="2">
        <v>269</v>
      </c>
      <c r="B270" t="s">
        <v>18</v>
      </c>
      <c r="C270" t="s">
        <v>24</v>
      </c>
      <c r="D270" t="s">
        <v>9</v>
      </c>
      <c r="E270" s="3">
        <v>500</v>
      </c>
      <c r="F270" s="4">
        <v>43930</v>
      </c>
      <c r="G270" s="2" t="s">
        <v>10</v>
      </c>
      <c r="L270">
        <v>623</v>
      </c>
      <c r="M270" t="str">
        <v>EQUIPOS</v>
      </c>
      <c r="N270" t="str">
        <v>CLIENTE-0003</v>
      </c>
      <c r="O270" t="str">
        <v>MADRID</v>
      </c>
      <c r="P270">
        <v>300</v>
      </c>
      <c r="Q270">
        <v>44210</v>
      </c>
      <c r="R270" t="str">
        <v>SI</v>
      </c>
    </row>
    <row r="271" spans="1:18" x14ac:dyDescent="0.25">
      <c r="A271" s="2">
        <v>270</v>
      </c>
      <c r="B271" t="s">
        <v>20</v>
      </c>
      <c r="C271" t="s">
        <v>25</v>
      </c>
      <c r="D271" t="s">
        <v>9</v>
      </c>
      <c r="E271" s="3">
        <v>750</v>
      </c>
      <c r="F271" s="4">
        <v>44428</v>
      </c>
      <c r="G271" s="2" t="s">
        <v>10</v>
      </c>
      <c r="L271">
        <v>650</v>
      </c>
      <c r="M271" t="str">
        <v>PROYECTO</v>
      </c>
      <c r="N271" t="str">
        <v>CLIENTE-0010</v>
      </c>
      <c r="O271" t="str">
        <v>MADRID</v>
      </c>
      <c r="P271">
        <v>300</v>
      </c>
      <c r="Q271">
        <v>43640</v>
      </c>
      <c r="R271" t="str">
        <v>NO</v>
      </c>
    </row>
    <row r="272" spans="1:18" x14ac:dyDescent="0.25">
      <c r="A272" s="2">
        <v>271</v>
      </c>
      <c r="B272" t="s">
        <v>7</v>
      </c>
      <c r="C272" t="s">
        <v>27</v>
      </c>
      <c r="D272" t="s">
        <v>22</v>
      </c>
      <c r="E272" s="3">
        <v>950</v>
      </c>
      <c r="F272" s="4">
        <v>44519</v>
      </c>
      <c r="G272" s="2" t="s">
        <v>10</v>
      </c>
      <c r="L272">
        <v>654</v>
      </c>
      <c r="M272" t="str">
        <v>CONSULTORIA</v>
      </c>
      <c r="N272" t="str">
        <v>CLIENTE-0010</v>
      </c>
      <c r="O272" t="str">
        <v>MADRID</v>
      </c>
      <c r="P272">
        <v>300</v>
      </c>
      <c r="Q272">
        <v>44224</v>
      </c>
      <c r="R272" t="str">
        <v>SI</v>
      </c>
    </row>
    <row r="273" spans="1:18" x14ac:dyDescent="0.25">
      <c r="A273" s="2">
        <v>272</v>
      </c>
      <c r="B273" t="s">
        <v>11</v>
      </c>
      <c r="C273" t="s">
        <v>19</v>
      </c>
      <c r="D273" t="s">
        <v>9</v>
      </c>
      <c r="E273" s="3">
        <v>680</v>
      </c>
      <c r="F273" s="4">
        <v>44036</v>
      </c>
      <c r="G273" s="2" t="s">
        <v>10</v>
      </c>
      <c r="L273">
        <v>656</v>
      </c>
      <c r="M273" t="str">
        <v>PROYECTO</v>
      </c>
      <c r="N273" t="str">
        <v>CLIENTE-0002</v>
      </c>
      <c r="O273" t="str">
        <v>ALICANTE</v>
      </c>
      <c r="P273">
        <v>300</v>
      </c>
      <c r="Q273">
        <v>43947</v>
      </c>
      <c r="R273" t="str">
        <v>SI</v>
      </c>
    </row>
    <row r="274" spans="1:18" x14ac:dyDescent="0.25">
      <c r="A274" s="2">
        <v>273</v>
      </c>
      <c r="B274" t="s">
        <v>14</v>
      </c>
      <c r="C274" t="s">
        <v>8</v>
      </c>
      <c r="D274" t="s">
        <v>9</v>
      </c>
      <c r="E274" s="3">
        <v>950</v>
      </c>
      <c r="F274" s="4">
        <v>43728</v>
      </c>
      <c r="G274" s="2" t="s">
        <v>10</v>
      </c>
      <c r="L274">
        <v>661</v>
      </c>
      <c r="M274" t="str">
        <v>DESARROLLO</v>
      </c>
      <c r="N274" t="str">
        <v>CLIENTE-0006</v>
      </c>
      <c r="O274" t="str">
        <v>BARCELONA</v>
      </c>
      <c r="P274">
        <v>300</v>
      </c>
      <c r="Q274">
        <v>43835</v>
      </c>
      <c r="R274" t="str">
        <v>SI</v>
      </c>
    </row>
    <row r="275" spans="1:18" x14ac:dyDescent="0.25">
      <c r="A275" s="2">
        <v>274</v>
      </c>
      <c r="B275" t="s">
        <v>16</v>
      </c>
      <c r="C275" t="s">
        <v>12</v>
      </c>
      <c r="D275" t="s">
        <v>13</v>
      </c>
      <c r="E275" s="3">
        <v>1500</v>
      </c>
      <c r="F275" s="4">
        <v>44545</v>
      </c>
      <c r="G275" s="2" t="s">
        <v>10</v>
      </c>
      <c r="L275">
        <v>665</v>
      </c>
      <c r="M275" t="str">
        <v>FORMACION</v>
      </c>
      <c r="N275" t="str">
        <v>CLIENTE-0010</v>
      </c>
      <c r="O275" t="str">
        <v>MADRID</v>
      </c>
      <c r="P275">
        <v>300</v>
      </c>
      <c r="Q275">
        <v>44075</v>
      </c>
      <c r="R275" t="str">
        <v>SI</v>
      </c>
    </row>
    <row r="276" spans="1:18" x14ac:dyDescent="0.25">
      <c r="A276" s="2">
        <v>275</v>
      </c>
      <c r="B276" t="s">
        <v>18</v>
      </c>
      <c r="C276" t="s">
        <v>15</v>
      </c>
      <c r="D276" t="s">
        <v>13</v>
      </c>
      <c r="E276" s="3">
        <v>5000</v>
      </c>
      <c r="F276" s="4">
        <v>43578</v>
      </c>
      <c r="G276" s="2" t="s">
        <v>10</v>
      </c>
      <c r="L276">
        <v>669</v>
      </c>
      <c r="M276" t="str">
        <v>PROGRAMA</v>
      </c>
      <c r="N276" t="str">
        <v>CLIENTE-0002</v>
      </c>
      <c r="O276" t="str">
        <v>ALICANTE</v>
      </c>
      <c r="P276">
        <v>300</v>
      </c>
      <c r="Q276">
        <v>43661</v>
      </c>
      <c r="R276" t="str">
        <v>SI</v>
      </c>
    </row>
    <row r="277" spans="1:18" x14ac:dyDescent="0.25">
      <c r="A277" s="2">
        <v>276</v>
      </c>
      <c r="B277" t="s">
        <v>20</v>
      </c>
      <c r="C277" t="s">
        <v>17</v>
      </c>
      <c r="D277" t="s">
        <v>13</v>
      </c>
      <c r="E277" s="3">
        <v>6500</v>
      </c>
      <c r="F277" s="4">
        <v>44468</v>
      </c>
      <c r="G277" s="2" t="s">
        <v>10</v>
      </c>
      <c r="L277">
        <v>673</v>
      </c>
      <c r="M277" t="str">
        <v>CONSULTORIA</v>
      </c>
      <c r="N277" t="str">
        <v>CLIENTE-0006</v>
      </c>
      <c r="O277" t="str">
        <v>BARCELONA</v>
      </c>
      <c r="P277">
        <v>300</v>
      </c>
      <c r="Q277">
        <v>43918</v>
      </c>
      <c r="R277" t="str">
        <v>NO</v>
      </c>
    </row>
    <row r="278" spans="1:18" x14ac:dyDescent="0.25">
      <c r="A278" s="2">
        <v>277</v>
      </c>
      <c r="B278" t="s">
        <v>7</v>
      </c>
      <c r="C278" t="s">
        <v>21</v>
      </c>
      <c r="D278" t="s">
        <v>22</v>
      </c>
      <c r="E278" s="3">
        <v>4500</v>
      </c>
      <c r="F278" s="4">
        <v>43824</v>
      </c>
      <c r="G278" s="2" t="s">
        <v>26</v>
      </c>
      <c r="L278">
        <v>675</v>
      </c>
      <c r="M278" t="str">
        <v>PROYECTO</v>
      </c>
      <c r="N278" t="str">
        <v>CLIENTE-0008</v>
      </c>
      <c r="O278" t="str">
        <v>ALICANTE</v>
      </c>
      <c r="P278">
        <v>300</v>
      </c>
      <c r="Q278">
        <v>43813</v>
      </c>
      <c r="R278" t="str">
        <v>NO</v>
      </c>
    </row>
    <row r="279" spans="1:18" x14ac:dyDescent="0.25">
      <c r="A279" s="2">
        <v>278</v>
      </c>
      <c r="B279" t="s">
        <v>11</v>
      </c>
      <c r="C279" t="s">
        <v>23</v>
      </c>
      <c r="D279" t="s">
        <v>22</v>
      </c>
      <c r="E279" s="3">
        <v>500</v>
      </c>
      <c r="F279" s="4">
        <v>43811</v>
      </c>
      <c r="G279" s="2" t="s">
        <v>26</v>
      </c>
      <c r="L279">
        <v>692</v>
      </c>
      <c r="M279" t="str">
        <v>EQUIPOS</v>
      </c>
      <c r="N279" t="str">
        <v>CLIENTE-0010</v>
      </c>
      <c r="O279" t="str">
        <v>MADRID</v>
      </c>
      <c r="P279">
        <v>300</v>
      </c>
      <c r="Q279">
        <v>43485</v>
      </c>
      <c r="R279" t="str">
        <v>SI</v>
      </c>
    </row>
    <row r="280" spans="1:18" x14ac:dyDescent="0.25">
      <c r="A280" s="2">
        <v>279</v>
      </c>
      <c r="B280" t="s">
        <v>14</v>
      </c>
      <c r="C280" t="s">
        <v>24</v>
      </c>
      <c r="D280" t="s">
        <v>9</v>
      </c>
      <c r="E280" s="3">
        <v>750</v>
      </c>
      <c r="F280" s="4">
        <v>44409</v>
      </c>
      <c r="G280" s="2" t="s">
        <v>26</v>
      </c>
      <c r="L280">
        <v>696</v>
      </c>
      <c r="M280" t="str">
        <v>DESARROLLO</v>
      </c>
      <c r="N280" t="str">
        <v>CLIENTE-0004</v>
      </c>
      <c r="O280" t="str">
        <v>MADRID</v>
      </c>
      <c r="P280">
        <v>300</v>
      </c>
      <c r="Q280">
        <v>43820</v>
      </c>
      <c r="R280" t="str">
        <v>SI</v>
      </c>
    </row>
    <row r="281" spans="1:18" x14ac:dyDescent="0.25">
      <c r="A281" s="2">
        <v>280</v>
      </c>
      <c r="B281" t="s">
        <v>20</v>
      </c>
      <c r="C281" t="s">
        <v>8</v>
      </c>
      <c r="D281" t="s">
        <v>9</v>
      </c>
      <c r="E281" s="3">
        <v>950</v>
      </c>
      <c r="F281" s="4">
        <v>44317</v>
      </c>
      <c r="G281" s="2" t="s">
        <v>26</v>
      </c>
      <c r="L281">
        <v>698</v>
      </c>
      <c r="M281" t="str">
        <v>EQUIPOS</v>
      </c>
      <c r="N281" t="str">
        <v>CLIENTE-0006</v>
      </c>
      <c r="O281" t="str">
        <v>BARCELONA</v>
      </c>
      <c r="P281">
        <v>300</v>
      </c>
      <c r="Q281">
        <v>44398</v>
      </c>
      <c r="R281" t="str">
        <v>SI</v>
      </c>
    </row>
    <row r="282" spans="1:18" x14ac:dyDescent="0.25">
      <c r="A282" s="2">
        <v>281</v>
      </c>
      <c r="B282" t="s">
        <v>7</v>
      </c>
      <c r="C282" t="s">
        <v>12</v>
      </c>
      <c r="D282" t="s">
        <v>13</v>
      </c>
      <c r="E282" s="3">
        <v>680</v>
      </c>
      <c r="F282" s="4">
        <v>43921</v>
      </c>
      <c r="G282" s="2" t="s">
        <v>26</v>
      </c>
      <c r="L282">
        <v>703</v>
      </c>
      <c r="M282" t="str">
        <v>PROYECTO</v>
      </c>
      <c r="N282" t="str">
        <v>CLIENTE-0004</v>
      </c>
      <c r="O282" t="str">
        <v>MADRID</v>
      </c>
      <c r="P282">
        <v>300</v>
      </c>
      <c r="Q282">
        <v>44029</v>
      </c>
      <c r="R282" t="str">
        <v>NO</v>
      </c>
    </row>
    <row r="283" spans="1:18" x14ac:dyDescent="0.25">
      <c r="A283" s="2">
        <v>282</v>
      </c>
      <c r="B283" t="s">
        <v>11</v>
      </c>
      <c r="C283" t="s">
        <v>12</v>
      </c>
      <c r="D283" t="s">
        <v>13</v>
      </c>
      <c r="E283" s="3">
        <v>950</v>
      </c>
      <c r="F283" s="4">
        <v>44108</v>
      </c>
      <c r="G283" s="2" t="s">
        <v>26</v>
      </c>
      <c r="L283">
        <v>707</v>
      </c>
      <c r="M283" t="str">
        <v>CONSULTORIA</v>
      </c>
      <c r="N283" t="str">
        <v>CLIENTE-0007</v>
      </c>
      <c r="O283" t="str">
        <v>BARCELONA</v>
      </c>
      <c r="P283">
        <v>300</v>
      </c>
      <c r="Q283">
        <v>44159</v>
      </c>
      <c r="R283" t="str">
        <v>SI</v>
      </c>
    </row>
    <row r="284" spans="1:18" x14ac:dyDescent="0.25">
      <c r="A284" s="2">
        <v>283</v>
      </c>
      <c r="B284" t="s">
        <v>14</v>
      </c>
      <c r="C284" t="s">
        <v>15</v>
      </c>
      <c r="D284" t="s">
        <v>13</v>
      </c>
      <c r="E284" s="3">
        <v>1500</v>
      </c>
      <c r="F284" s="4">
        <v>43704</v>
      </c>
      <c r="G284" s="2" t="s">
        <v>26</v>
      </c>
      <c r="L284">
        <v>709</v>
      </c>
      <c r="M284" t="str">
        <v>PROYECTO</v>
      </c>
      <c r="N284" t="str">
        <v>CLIENTE-0009</v>
      </c>
      <c r="O284" t="str">
        <v>ALICANTE</v>
      </c>
      <c r="P284">
        <v>300</v>
      </c>
      <c r="Q284">
        <v>44380</v>
      </c>
      <c r="R284" t="str">
        <v>SI</v>
      </c>
    </row>
    <row r="285" spans="1:18" x14ac:dyDescent="0.25">
      <c r="A285" s="2">
        <v>284</v>
      </c>
      <c r="B285" t="s">
        <v>16</v>
      </c>
      <c r="C285" t="s">
        <v>17</v>
      </c>
      <c r="D285" t="s">
        <v>13</v>
      </c>
      <c r="E285" s="3">
        <v>5000</v>
      </c>
      <c r="F285" s="4">
        <v>43948</v>
      </c>
      <c r="G285" s="2" t="s">
        <v>10</v>
      </c>
      <c r="L285">
        <v>730</v>
      </c>
      <c r="M285" t="str">
        <v>DESARROLLO</v>
      </c>
      <c r="N285" t="str">
        <v>CLIENTE-0006</v>
      </c>
      <c r="O285" t="str">
        <v>BARCELONA</v>
      </c>
      <c r="P285">
        <v>300</v>
      </c>
      <c r="Q285">
        <v>44208</v>
      </c>
      <c r="R285" t="str">
        <v>SI</v>
      </c>
    </row>
    <row r="286" spans="1:18" x14ac:dyDescent="0.25">
      <c r="A286" s="2">
        <v>285</v>
      </c>
      <c r="B286" t="s">
        <v>18</v>
      </c>
      <c r="C286" t="s">
        <v>21</v>
      </c>
      <c r="D286" t="s">
        <v>22</v>
      </c>
      <c r="E286" s="3">
        <v>6500</v>
      </c>
      <c r="F286" s="4">
        <v>44235</v>
      </c>
      <c r="G286" s="2" t="s">
        <v>10</v>
      </c>
      <c r="L286">
        <v>734</v>
      </c>
      <c r="M286" t="str">
        <v>PROGRAMA</v>
      </c>
      <c r="N286" t="str">
        <v>CLIENTE-0010</v>
      </c>
      <c r="O286" t="str">
        <v>MADRID</v>
      </c>
      <c r="P286">
        <v>300</v>
      </c>
      <c r="Q286">
        <v>43867</v>
      </c>
      <c r="R286" t="str">
        <v>SI</v>
      </c>
    </row>
    <row r="287" spans="1:18" x14ac:dyDescent="0.25">
      <c r="A287" s="2">
        <v>286</v>
      </c>
      <c r="B287" t="s">
        <v>20</v>
      </c>
      <c r="C287" t="s">
        <v>23</v>
      </c>
      <c r="D287" t="s">
        <v>22</v>
      </c>
      <c r="E287" s="3">
        <v>8500</v>
      </c>
      <c r="F287" s="4">
        <v>44177</v>
      </c>
      <c r="G287" s="2" t="s">
        <v>10</v>
      </c>
      <c r="L287">
        <v>738</v>
      </c>
      <c r="M287" t="str">
        <v>PROYECTO</v>
      </c>
      <c r="N287" t="str">
        <v>CLIENTE-0006</v>
      </c>
      <c r="O287" t="str">
        <v>BARCELONA</v>
      </c>
      <c r="P287">
        <v>300</v>
      </c>
      <c r="Q287">
        <v>43472</v>
      </c>
      <c r="R287" t="str">
        <v>SI</v>
      </c>
    </row>
    <row r="288" spans="1:18" x14ac:dyDescent="0.25">
      <c r="A288" s="2">
        <v>287</v>
      </c>
      <c r="B288" t="s">
        <v>7</v>
      </c>
      <c r="C288" t="s">
        <v>24</v>
      </c>
      <c r="D288" t="s">
        <v>9</v>
      </c>
      <c r="E288" s="3">
        <v>1200</v>
      </c>
      <c r="F288" s="4">
        <v>44429</v>
      </c>
      <c r="G288" s="2" t="s">
        <v>10</v>
      </c>
      <c r="L288">
        <v>740</v>
      </c>
      <c r="M288" t="str">
        <v>PROGRAMA</v>
      </c>
      <c r="N288" t="str">
        <v>CLIENTE-0008</v>
      </c>
      <c r="O288" t="str">
        <v>ALICANTE</v>
      </c>
      <c r="P288">
        <v>300</v>
      </c>
      <c r="Q288">
        <v>44183</v>
      </c>
      <c r="R288" t="str">
        <v>NO</v>
      </c>
    </row>
    <row r="289" spans="1:18" x14ac:dyDescent="0.25">
      <c r="A289" s="2">
        <v>288</v>
      </c>
      <c r="B289" t="s">
        <v>11</v>
      </c>
      <c r="C289" t="s">
        <v>25</v>
      </c>
      <c r="D289" t="s">
        <v>9</v>
      </c>
      <c r="E289" s="3">
        <v>300</v>
      </c>
      <c r="F289" s="4">
        <v>44200</v>
      </c>
      <c r="G289" s="2" t="s">
        <v>10</v>
      </c>
      <c r="L289">
        <v>757</v>
      </c>
      <c r="M289" t="str">
        <v>PROYECTO</v>
      </c>
      <c r="N289" t="str">
        <v>CLIENTE-0004</v>
      </c>
      <c r="O289" t="str">
        <v>MADRID</v>
      </c>
      <c r="P289">
        <v>300</v>
      </c>
      <c r="Q289">
        <v>44248</v>
      </c>
      <c r="R289" t="str">
        <v>NO</v>
      </c>
    </row>
    <row r="290" spans="1:18" x14ac:dyDescent="0.25">
      <c r="A290" s="2">
        <v>289</v>
      </c>
      <c r="B290" t="s">
        <v>14</v>
      </c>
      <c r="C290" t="s">
        <v>24</v>
      </c>
      <c r="D290" t="s">
        <v>9</v>
      </c>
      <c r="E290" s="3">
        <v>200</v>
      </c>
      <c r="F290" s="4">
        <v>43682</v>
      </c>
      <c r="G290" s="2" t="s">
        <v>10</v>
      </c>
      <c r="L290">
        <v>761</v>
      </c>
      <c r="M290" t="str">
        <v>CONSULTORIA</v>
      </c>
      <c r="N290" t="str">
        <v>CLIENTE-0008</v>
      </c>
      <c r="O290" t="str">
        <v>ALICANTE</v>
      </c>
      <c r="P290">
        <v>300</v>
      </c>
      <c r="Q290">
        <v>43755</v>
      </c>
      <c r="R290" t="str">
        <v>SI</v>
      </c>
    </row>
    <row r="291" spans="1:18" x14ac:dyDescent="0.25">
      <c r="A291" s="2">
        <v>290</v>
      </c>
      <c r="B291" t="s">
        <v>16</v>
      </c>
      <c r="C291" t="s">
        <v>25</v>
      </c>
      <c r="D291" t="s">
        <v>9</v>
      </c>
      <c r="E291" s="3">
        <v>150</v>
      </c>
      <c r="F291" s="4">
        <v>44126</v>
      </c>
      <c r="G291" s="2" t="s">
        <v>10</v>
      </c>
      <c r="L291">
        <v>763</v>
      </c>
      <c r="M291" t="str">
        <v>PROYECTO</v>
      </c>
      <c r="N291" t="str">
        <v>CLIENTE-0010</v>
      </c>
      <c r="O291" t="str">
        <v>MADRID</v>
      </c>
      <c r="P291">
        <v>300</v>
      </c>
      <c r="Q291">
        <v>43499</v>
      </c>
      <c r="R291" t="str">
        <v>SI</v>
      </c>
    </row>
    <row r="292" spans="1:18" x14ac:dyDescent="0.25">
      <c r="A292" s="2">
        <v>291</v>
      </c>
      <c r="B292" t="s">
        <v>11</v>
      </c>
      <c r="C292" t="s">
        <v>27</v>
      </c>
      <c r="D292" t="s">
        <v>22</v>
      </c>
      <c r="E292" s="3">
        <v>120</v>
      </c>
      <c r="F292" s="4">
        <v>43650</v>
      </c>
      <c r="G292" s="2" t="s">
        <v>10</v>
      </c>
      <c r="L292">
        <v>768</v>
      </c>
      <c r="M292" t="str">
        <v>EQUIPOS</v>
      </c>
      <c r="N292" t="str">
        <v>CLIENTE-0007</v>
      </c>
      <c r="O292" t="str">
        <v>BARCELONA</v>
      </c>
      <c r="P292">
        <v>300</v>
      </c>
      <c r="Q292">
        <v>44272</v>
      </c>
      <c r="R292" t="str">
        <v>SI</v>
      </c>
    </row>
    <row r="293" spans="1:18" x14ac:dyDescent="0.25">
      <c r="A293" s="2">
        <v>292</v>
      </c>
      <c r="B293" t="s">
        <v>14</v>
      </c>
      <c r="C293" t="s">
        <v>19</v>
      </c>
      <c r="D293" t="s">
        <v>9</v>
      </c>
      <c r="E293" s="3">
        <v>300</v>
      </c>
      <c r="F293" s="4">
        <v>43716</v>
      </c>
      <c r="G293" s="2" t="s">
        <v>10</v>
      </c>
      <c r="L293">
        <v>772</v>
      </c>
      <c r="M293" t="str">
        <v>DESARROLLO</v>
      </c>
      <c r="N293" t="str">
        <v>CLIENTE-0001</v>
      </c>
      <c r="O293" t="str">
        <v>MADRID</v>
      </c>
      <c r="P293">
        <v>300</v>
      </c>
      <c r="Q293">
        <v>44365</v>
      </c>
      <c r="R293" t="str">
        <v>NO</v>
      </c>
    </row>
    <row r="294" spans="1:18" x14ac:dyDescent="0.25">
      <c r="A294" s="2">
        <v>293</v>
      </c>
      <c r="B294" t="s">
        <v>16</v>
      </c>
      <c r="C294" t="s">
        <v>8</v>
      </c>
      <c r="D294" t="s">
        <v>9</v>
      </c>
      <c r="E294" s="3">
        <v>350</v>
      </c>
      <c r="F294" s="4">
        <v>43500</v>
      </c>
      <c r="G294" s="2" t="s">
        <v>10</v>
      </c>
      <c r="L294">
        <v>774</v>
      </c>
      <c r="M294" t="str">
        <v>EQUIPOS</v>
      </c>
      <c r="N294" t="str">
        <v>CLIENTE-0001</v>
      </c>
      <c r="O294" t="str">
        <v>MADRID</v>
      </c>
      <c r="P294">
        <v>300</v>
      </c>
      <c r="Q294">
        <v>43487</v>
      </c>
      <c r="R294" t="str">
        <v>NO</v>
      </c>
    </row>
    <row r="295" spans="1:18" x14ac:dyDescent="0.25">
      <c r="A295" s="2">
        <v>294</v>
      </c>
      <c r="B295" t="s">
        <v>18</v>
      </c>
      <c r="C295" t="s">
        <v>12</v>
      </c>
      <c r="D295" t="s">
        <v>13</v>
      </c>
      <c r="E295" s="3">
        <v>300</v>
      </c>
      <c r="F295" s="4">
        <v>44133</v>
      </c>
      <c r="G295" s="2" t="s">
        <v>10</v>
      </c>
      <c r="L295">
        <v>20</v>
      </c>
      <c r="M295" t="str">
        <v>PROGRAMA</v>
      </c>
      <c r="N295" t="str">
        <v>CLIENTE-0005</v>
      </c>
      <c r="O295" t="str">
        <v>BARCELONA</v>
      </c>
      <c r="P295">
        <v>350</v>
      </c>
      <c r="Q295">
        <v>44450</v>
      </c>
      <c r="R295" t="str">
        <v>NO</v>
      </c>
    </row>
    <row r="296" spans="1:18" x14ac:dyDescent="0.25">
      <c r="A296" s="2">
        <v>295</v>
      </c>
      <c r="B296" t="s">
        <v>20</v>
      </c>
      <c r="C296" t="s">
        <v>15</v>
      </c>
      <c r="D296" t="s">
        <v>13</v>
      </c>
      <c r="E296" s="3">
        <v>120</v>
      </c>
      <c r="F296" s="4">
        <v>44135</v>
      </c>
      <c r="G296" s="2" t="s">
        <v>10</v>
      </c>
      <c r="L296">
        <v>43</v>
      </c>
      <c r="M296" t="str">
        <v>PROYECTO</v>
      </c>
      <c r="N296" t="str">
        <v>CLIENTE-0008</v>
      </c>
      <c r="O296" t="str">
        <v>ALICANTE</v>
      </c>
      <c r="P296">
        <v>350</v>
      </c>
      <c r="Q296">
        <v>43519</v>
      </c>
      <c r="R296" t="str">
        <v>NO</v>
      </c>
    </row>
    <row r="297" spans="1:18" x14ac:dyDescent="0.25">
      <c r="A297" s="2">
        <v>296</v>
      </c>
      <c r="B297" t="s">
        <v>7</v>
      </c>
      <c r="C297" t="s">
        <v>17</v>
      </c>
      <c r="D297" t="s">
        <v>13</v>
      </c>
      <c r="E297" s="3">
        <v>150</v>
      </c>
      <c r="F297" s="4">
        <v>43774</v>
      </c>
      <c r="G297" s="2" t="s">
        <v>10</v>
      </c>
      <c r="L297">
        <v>54</v>
      </c>
      <c r="M297" t="str">
        <v>DESARROLLO</v>
      </c>
      <c r="N297" t="str">
        <v>CLIENTE-0006</v>
      </c>
      <c r="O297" t="str">
        <v>BARCELONA</v>
      </c>
      <c r="P297">
        <v>350</v>
      </c>
      <c r="Q297">
        <v>44546</v>
      </c>
      <c r="R297" t="str">
        <v>SI</v>
      </c>
    </row>
    <row r="298" spans="1:18" x14ac:dyDescent="0.25">
      <c r="A298" s="2">
        <v>297</v>
      </c>
      <c r="B298" t="s">
        <v>11</v>
      </c>
      <c r="C298" t="s">
        <v>21</v>
      </c>
      <c r="D298" t="s">
        <v>22</v>
      </c>
      <c r="E298" s="3">
        <v>8500</v>
      </c>
      <c r="F298" s="4">
        <v>43529</v>
      </c>
      <c r="G298" s="2" t="s">
        <v>10</v>
      </c>
      <c r="L298">
        <v>89</v>
      </c>
      <c r="M298" t="str">
        <v>DESARROLLO</v>
      </c>
      <c r="N298" t="str">
        <v>CLIENTE-0009</v>
      </c>
      <c r="O298" t="str">
        <v>ALICANTE</v>
      </c>
      <c r="P298">
        <v>350</v>
      </c>
      <c r="Q298">
        <v>43727</v>
      </c>
      <c r="R298" t="str">
        <v>NO</v>
      </c>
    </row>
    <row r="299" spans="1:18" x14ac:dyDescent="0.25">
      <c r="A299" s="2">
        <v>298</v>
      </c>
      <c r="B299" t="s">
        <v>14</v>
      </c>
      <c r="C299" t="s">
        <v>23</v>
      </c>
      <c r="D299" t="s">
        <v>22</v>
      </c>
      <c r="E299" s="3">
        <v>1200</v>
      </c>
      <c r="F299" s="4">
        <v>44122</v>
      </c>
      <c r="G299" s="2" t="s">
        <v>10</v>
      </c>
      <c r="L299">
        <v>112</v>
      </c>
      <c r="M299" t="str">
        <v>PROYECTO</v>
      </c>
      <c r="N299" t="str">
        <v>CLIENTE-0007</v>
      </c>
      <c r="O299" t="str">
        <v>BARCELONA</v>
      </c>
      <c r="P299">
        <v>350</v>
      </c>
      <c r="Q299">
        <v>43967</v>
      </c>
      <c r="R299" t="str">
        <v>NO</v>
      </c>
    </row>
    <row r="300" spans="1:18" x14ac:dyDescent="0.25">
      <c r="A300" s="2">
        <v>299</v>
      </c>
      <c r="B300" t="s">
        <v>20</v>
      </c>
      <c r="C300" t="s">
        <v>24</v>
      </c>
      <c r="D300" t="s">
        <v>9</v>
      </c>
      <c r="E300" s="3">
        <v>300</v>
      </c>
      <c r="F300" s="4">
        <v>44343</v>
      </c>
      <c r="G300" s="2" t="s">
        <v>10</v>
      </c>
      <c r="L300">
        <v>123</v>
      </c>
      <c r="M300" t="str">
        <v>CONSULTORIA</v>
      </c>
      <c r="N300" t="str">
        <v>CLIENTE-0010</v>
      </c>
      <c r="O300" t="str">
        <v>MADRID</v>
      </c>
      <c r="P300">
        <v>350</v>
      </c>
      <c r="Q300">
        <v>44524</v>
      </c>
      <c r="R300" t="str">
        <v>SI</v>
      </c>
    </row>
    <row r="301" spans="1:18" x14ac:dyDescent="0.25">
      <c r="A301" s="2">
        <v>300</v>
      </c>
      <c r="B301" t="s">
        <v>7</v>
      </c>
      <c r="C301" t="s">
        <v>8</v>
      </c>
      <c r="D301" t="s">
        <v>9</v>
      </c>
      <c r="E301" s="3">
        <v>200</v>
      </c>
      <c r="F301" s="4">
        <v>43864</v>
      </c>
      <c r="G301" s="2" t="s">
        <v>10</v>
      </c>
      <c r="L301">
        <v>158</v>
      </c>
      <c r="M301" t="str">
        <v>DESARROLLO</v>
      </c>
      <c r="N301" t="str">
        <v>CLIENTE-0008</v>
      </c>
      <c r="O301" t="str">
        <v>ALICANTE</v>
      </c>
      <c r="P301">
        <v>350</v>
      </c>
      <c r="Q301">
        <v>44283</v>
      </c>
      <c r="R301" t="str">
        <v>NO</v>
      </c>
    </row>
    <row r="302" spans="1:18" x14ac:dyDescent="0.25">
      <c r="A302" s="2">
        <v>301</v>
      </c>
      <c r="B302" t="s">
        <v>11</v>
      </c>
      <c r="C302" t="s">
        <v>12</v>
      </c>
      <c r="D302" t="s">
        <v>13</v>
      </c>
      <c r="E302" s="3">
        <v>150</v>
      </c>
      <c r="F302" s="4">
        <v>43967</v>
      </c>
      <c r="G302" s="2" t="s">
        <v>10</v>
      </c>
      <c r="L302">
        <v>181</v>
      </c>
      <c r="M302" t="str">
        <v>FORMACION</v>
      </c>
      <c r="N302" t="str">
        <v>CLIENTE-0004</v>
      </c>
      <c r="O302" t="str">
        <v>MADRID</v>
      </c>
      <c r="P302">
        <v>350</v>
      </c>
      <c r="Q302">
        <v>43893</v>
      </c>
      <c r="R302" t="str">
        <v>NO</v>
      </c>
    </row>
    <row r="303" spans="1:18" x14ac:dyDescent="0.25">
      <c r="A303" s="2">
        <v>302</v>
      </c>
      <c r="B303" t="s">
        <v>14</v>
      </c>
      <c r="C303" t="s">
        <v>12</v>
      </c>
      <c r="D303" t="s">
        <v>13</v>
      </c>
      <c r="E303" s="3">
        <v>120</v>
      </c>
      <c r="F303" s="4">
        <v>43690</v>
      </c>
      <c r="G303" s="2" t="s">
        <v>10</v>
      </c>
      <c r="L303">
        <v>192</v>
      </c>
      <c r="M303" t="str">
        <v>CONSULTORIA</v>
      </c>
      <c r="N303" t="str">
        <v>CLIENTE-0002</v>
      </c>
      <c r="O303" t="str">
        <v>ALICANTE</v>
      </c>
      <c r="P303">
        <v>350</v>
      </c>
      <c r="Q303">
        <v>43858</v>
      </c>
      <c r="R303" t="str">
        <v>SI</v>
      </c>
    </row>
    <row r="304" spans="1:18" x14ac:dyDescent="0.25">
      <c r="A304" s="2">
        <v>303</v>
      </c>
      <c r="B304" t="s">
        <v>16</v>
      </c>
      <c r="C304" t="s">
        <v>15</v>
      </c>
      <c r="D304" t="s">
        <v>13</v>
      </c>
      <c r="E304" s="3">
        <v>300</v>
      </c>
      <c r="F304" s="4">
        <v>43507</v>
      </c>
      <c r="G304" s="2" t="s">
        <v>10</v>
      </c>
      <c r="L304">
        <v>227</v>
      </c>
      <c r="M304" t="str">
        <v>PROGRAMA</v>
      </c>
      <c r="N304" t="str">
        <v>CLIENTE-0005</v>
      </c>
      <c r="O304" t="str">
        <v>BARCELONA</v>
      </c>
      <c r="P304">
        <v>350</v>
      </c>
      <c r="Q304">
        <v>43717</v>
      </c>
      <c r="R304" t="str">
        <v>NO</v>
      </c>
    </row>
    <row r="305" spans="1:18" x14ac:dyDescent="0.25">
      <c r="A305" s="2">
        <v>304</v>
      </c>
      <c r="B305" t="s">
        <v>18</v>
      </c>
      <c r="C305" t="s">
        <v>17</v>
      </c>
      <c r="D305" t="s">
        <v>13</v>
      </c>
      <c r="E305" s="3">
        <v>350</v>
      </c>
      <c r="F305" s="4">
        <v>43866</v>
      </c>
      <c r="G305" s="2" t="s">
        <v>10</v>
      </c>
      <c r="L305">
        <v>250</v>
      </c>
      <c r="M305" t="str">
        <v>FORMACION</v>
      </c>
      <c r="N305" t="str">
        <v>CLIENTE-0007</v>
      </c>
      <c r="O305" t="str">
        <v>BARCELONA</v>
      </c>
      <c r="P305">
        <v>350</v>
      </c>
      <c r="Q305">
        <v>43852</v>
      </c>
      <c r="R305" t="str">
        <v>NO</v>
      </c>
    </row>
    <row r="306" spans="1:18" x14ac:dyDescent="0.25">
      <c r="A306" s="2">
        <v>305</v>
      </c>
      <c r="B306" t="s">
        <v>20</v>
      </c>
      <c r="C306" t="s">
        <v>21</v>
      </c>
      <c r="D306" t="s">
        <v>22</v>
      </c>
      <c r="E306" s="3">
        <v>300</v>
      </c>
      <c r="F306" s="4">
        <v>43683</v>
      </c>
      <c r="G306" s="2" t="s">
        <v>26</v>
      </c>
      <c r="L306">
        <v>261</v>
      </c>
      <c r="M306" t="str">
        <v>PROGRAMA</v>
      </c>
      <c r="N306" t="str">
        <v>CLIENTE-0006</v>
      </c>
      <c r="O306" t="str">
        <v>BARCELONA</v>
      </c>
      <c r="P306">
        <v>350</v>
      </c>
      <c r="Q306">
        <v>44411</v>
      </c>
      <c r="R306" t="str">
        <v>SI</v>
      </c>
    </row>
    <row r="307" spans="1:18" x14ac:dyDescent="0.25">
      <c r="A307" s="2">
        <v>306</v>
      </c>
      <c r="B307" t="s">
        <v>7</v>
      </c>
      <c r="C307" t="s">
        <v>23</v>
      </c>
      <c r="D307" t="s">
        <v>22</v>
      </c>
      <c r="E307" s="3">
        <v>120</v>
      </c>
      <c r="F307" s="4">
        <v>43639</v>
      </c>
      <c r="G307" s="2" t="s">
        <v>26</v>
      </c>
      <c r="L307">
        <v>293</v>
      </c>
      <c r="M307" t="str">
        <v>PROGRAMA</v>
      </c>
      <c r="N307" t="str">
        <v>CLIENTE-0004</v>
      </c>
      <c r="O307" t="str">
        <v>MADRID</v>
      </c>
      <c r="P307">
        <v>350</v>
      </c>
      <c r="Q307">
        <v>43500</v>
      </c>
      <c r="R307" t="str">
        <v>SI</v>
      </c>
    </row>
    <row r="308" spans="1:18" x14ac:dyDescent="0.25">
      <c r="A308" s="2">
        <v>307</v>
      </c>
      <c r="B308" t="s">
        <v>11</v>
      </c>
      <c r="C308" t="s">
        <v>24</v>
      </c>
      <c r="D308" t="s">
        <v>9</v>
      </c>
      <c r="E308" s="3">
        <v>150</v>
      </c>
      <c r="F308" s="4">
        <v>43605</v>
      </c>
      <c r="G308" s="2" t="s">
        <v>26</v>
      </c>
      <c r="L308">
        <v>304</v>
      </c>
      <c r="M308" t="str">
        <v>FORMACION</v>
      </c>
      <c r="N308" t="str">
        <v>CLIENTE-0007</v>
      </c>
      <c r="O308" t="str">
        <v>BARCELONA</v>
      </c>
      <c r="P308">
        <v>350</v>
      </c>
      <c r="Q308">
        <v>43866</v>
      </c>
      <c r="R308" t="str">
        <v>SI</v>
      </c>
    </row>
    <row r="309" spans="1:18" x14ac:dyDescent="0.25">
      <c r="A309" s="2">
        <v>308</v>
      </c>
      <c r="B309" t="s">
        <v>14</v>
      </c>
      <c r="C309" t="s">
        <v>25</v>
      </c>
      <c r="D309" t="s">
        <v>9</v>
      </c>
      <c r="E309" s="3">
        <v>1200</v>
      </c>
      <c r="F309" s="4">
        <v>43769</v>
      </c>
      <c r="G309" s="2" t="s">
        <v>26</v>
      </c>
      <c r="L309">
        <v>339</v>
      </c>
      <c r="M309" t="str">
        <v>CONSULTORIA</v>
      </c>
      <c r="N309" t="str">
        <v>CLIENTE-0010</v>
      </c>
      <c r="O309" t="str">
        <v>MADRID</v>
      </c>
      <c r="P309">
        <v>350</v>
      </c>
      <c r="Q309">
        <v>43734</v>
      </c>
      <c r="R309" t="str">
        <v>SI</v>
      </c>
    </row>
    <row r="310" spans="1:18" x14ac:dyDescent="0.25">
      <c r="A310" s="2">
        <v>309</v>
      </c>
      <c r="B310" t="s">
        <v>16</v>
      </c>
      <c r="C310" t="s">
        <v>24</v>
      </c>
      <c r="D310" t="s">
        <v>9</v>
      </c>
      <c r="E310" s="3">
        <v>800</v>
      </c>
      <c r="F310" s="4">
        <v>43491</v>
      </c>
      <c r="G310" s="2" t="s">
        <v>26</v>
      </c>
      <c r="L310">
        <v>362</v>
      </c>
      <c r="M310" t="str">
        <v>PROYECTO</v>
      </c>
      <c r="N310" t="str">
        <v>CLIENTE-0008</v>
      </c>
      <c r="O310" t="str">
        <v>ALICANTE</v>
      </c>
      <c r="P310">
        <v>350</v>
      </c>
      <c r="Q310">
        <v>43952</v>
      </c>
      <c r="R310" t="str">
        <v>NO</v>
      </c>
    </row>
    <row r="311" spans="1:18" x14ac:dyDescent="0.25">
      <c r="A311" s="2">
        <v>310</v>
      </c>
      <c r="B311" t="s">
        <v>18</v>
      </c>
      <c r="C311" t="s">
        <v>25</v>
      </c>
      <c r="D311" t="s">
        <v>9</v>
      </c>
      <c r="E311" s="3">
        <v>750</v>
      </c>
      <c r="F311" s="4">
        <v>44079</v>
      </c>
      <c r="G311" s="2" t="s">
        <v>26</v>
      </c>
      <c r="L311">
        <v>373</v>
      </c>
      <c r="M311" t="str">
        <v>DESARROLLO</v>
      </c>
      <c r="N311" t="str">
        <v>CLIENTE-0001</v>
      </c>
      <c r="O311" t="str">
        <v>MADRID</v>
      </c>
      <c r="P311">
        <v>350</v>
      </c>
      <c r="Q311">
        <v>43548</v>
      </c>
      <c r="R311" t="str">
        <v>SI</v>
      </c>
    </row>
    <row r="312" spans="1:18" x14ac:dyDescent="0.25">
      <c r="A312" s="2">
        <v>311</v>
      </c>
      <c r="B312" t="s">
        <v>20</v>
      </c>
      <c r="C312" t="s">
        <v>27</v>
      </c>
      <c r="D312" t="s">
        <v>22</v>
      </c>
      <c r="E312" s="3">
        <v>4500</v>
      </c>
      <c r="F312" s="4">
        <v>44060</v>
      </c>
      <c r="G312" s="2" t="s">
        <v>26</v>
      </c>
      <c r="L312">
        <v>381</v>
      </c>
      <c r="M312" t="str">
        <v>EQUIPOS</v>
      </c>
      <c r="N312" t="str">
        <v>CLIENTE-0007</v>
      </c>
      <c r="O312" t="str">
        <v>BARCELONA</v>
      </c>
      <c r="P312">
        <v>350</v>
      </c>
      <c r="Q312">
        <v>43849</v>
      </c>
      <c r="R312" t="str">
        <v>NO</v>
      </c>
    </row>
    <row r="313" spans="1:18" x14ac:dyDescent="0.25">
      <c r="A313" s="2">
        <v>312</v>
      </c>
      <c r="B313" t="s">
        <v>7</v>
      </c>
      <c r="C313" t="s">
        <v>19</v>
      </c>
      <c r="D313" t="s">
        <v>9</v>
      </c>
      <c r="E313" s="3">
        <v>500</v>
      </c>
      <c r="F313" s="4">
        <v>44556</v>
      </c>
      <c r="G313" s="2" t="s">
        <v>10</v>
      </c>
      <c r="L313">
        <v>404</v>
      </c>
      <c r="M313" t="str">
        <v>PROGRAMA</v>
      </c>
      <c r="N313" t="str">
        <v>CLIENTE-0004</v>
      </c>
      <c r="O313" t="str">
        <v>MADRID</v>
      </c>
      <c r="P313">
        <v>350</v>
      </c>
      <c r="Q313">
        <v>44178</v>
      </c>
      <c r="R313" t="str">
        <v>SI</v>
      </c>
    </row>
    <row r="314" spans="1:18" x14ac:dyDescent="0.25">
      <c r="A314" s="2">
        <v>313</v>
      </c>
      <c r="B314" t="s">
        <v>11</v>
      </c>
      <c r="C314" t="s">
        <v>8</v>
      </c>
      <c r="D314" t="s">
        <v>9</v>
      </c>
      <c r="E314" s="3">
        <v>750</v>
      </c>
      <c r="F314" s="4">
        <v>43721</v>
      </c>
      <c r="G314" s="2" t="s">
        <v>10</v>
      </c>
      <c r="L314">
        <v>415</v>
      </c>
      <c r="M314" t="str">
        <v>PROYECTO</v>
      </c>
      <c r="N314" t="str">
        <v>CLIENTE-0007</v>
      </c>
      <c r="O314" t="str">
        <v>BARCELONA</v>
      </c>
      <c r="P314">
        <v>350</v>
      </c>
      <c r="Q314">
        <v>44198</v>
      </c>
      <c r="R314" t="str">
        <v>NO</v>
      </c>
    </row>
    <row r="315" spans="1:18" x14ac:dyDescent="0.25">
      <c r="A315" s="2">
        <v>314</v>
      </c>
      <c r="B315" t="s">
        <v>14</v>
      </c>
      <c r="C315" t="s">
        <v>12</v>
      </c>
      <c r="D315" t="s">
        <v>13</v>
      </c>
      <c r="E315" s="3">
        <v>950</v>
      </c>
      <c r="F315" s="4">
        <v>43761</v>
      </c>
      <c r="G315" s="2" t="s">
        <v>10</v>
      </c>
      <c r="L315">
        <v>450</v>
      </c>
      <c r="M315" t="str">
        <v>PROYECTO</v>
      </c>
      <c r="N315" t="str">
        <v>CLIENTE-0005</v>
      </c>
      <c r="O315" t="str">
        <v>BARCELONA</v>
      </c>
      <c r="P315">
        <v>350</v>
      </c>
      <c r="Q315">
        <v>44044</v>
      </c>
      <c r="R315" t="str">
        <v>SI</v>
      </c>
    </row>
    <row r="316" spans="1:18" x14ac:dyDescent="0.25">
      <c r="A316" s="2">
        <v>315</v>
      </c>
      <c r="B316" t="s">
        <v>16</v>
      </c>
      <c r="C316" t="s">
        <v>15</v>
      </c>
      <c r="D316" t="s">
        <v>13</v>
      </c>
      <c r="E316" s="3">
        <v>680</v>
      </c>
      <c r="F316" s="4">
        <v>44266</v>
      </c>
      <c r="G316" s="2" t="s">
        <v>10</v>
      </c>
      <c r="L316">
        <v>473</v>
      </c>
      <c r="M316" t="str">
        <v>DESARROLLO</v>
      </c>
      <c r="N316" t="str">
        <v>CLIENTE-0008</v>
      </c>
      <c r="O316" t="str">
        <v>ALICANTE</v>
      </c>
      <c r="P316">
        <v>350</v>
      </c>
      <c r="Q316">
        <v>44424</v>
      </c>
      <c r="R316" t="str">
        <v>SI</v>
      </c>
    </row>
    <row r="317" spans="1:18" x14ac:dyDescent="0.25">
      <c r="A317" s="2">
        <v>316</v>
      </c>
      <c r="B317" t="s">
        <v>18</v>
      </c>
      <c r="C317" t="s">
        <v>17</v>
      </c>
      <c r="D317" t="s">
        <v>13</v>
      </c>
      <c r="E317" s="3">
        <v>950</v>
      </c>
      <c r="F317" s="4">
        <v>43559</v>
      </c>
      <c r="G317" s="2" t="s">
        <v>10</v>
      </c>
      <c r="L317">
        <v>484</v>
      </c>
      <c r="M317" t="str">
        <v>PROYECTO</v>
      </c>
      <c r="N317" t="str">
        <v>CLIENTE-0006</v>
      </c>
      <c r="O317" t="str">
        <v>BARCELONA</v>
      </c>
      <c r="P317">
        <v>350</v>
      </c>
      <c r="Q317">
        <v>44173</v>
      </c>
      <c r="R317" t="str">
        <v>NO</v>
      </c>
    </row>
    <row r="318" spans="1:18" x14ac:dyDescent="0.25">
      <c r="A318" s="2">
        <v>317</v>
      </c>
      <c r="B318" t="s">
        <v>20</v>
      </c>
      <c r="C318" t="s">
        <v>21</v>
      </c>
      <c r="D318" t="s">
        <v>22</v>
      </c>
      <c r="E318" s="3">
        <v>1500</v>
      </c>
      <c r="F318" s="4">
        <v>44116</v>
      </c>
      <c r="G318" s="2" t="s">
        <v>10</v>
      </c>
      <c r="L318">
        <v>519</v>
      </c>
      <c r="M318" t="str">
        <v>EQUIPOS</v>
      </c>
      <c r="N318" t="str">
        <v>CLIENTE-0009</v>
      </c>
      <c r="O318" t="str">
        <v>ALICANTE</v>
      </c>
      <c r="P318">
        <v>350</v>
      </c>
      <c r="Q318">
        <v>44389</v>
      </c>
      <c r="R318" t="str">
        <v>SI</v>
      </c>
    </row>
    <row r="319" spans="1:18" x14ac:dyDescent="0.25">
      <c r="A319" s="2">
        <v>318</v>
      </c>
      <c r="B319" t="s">
        <v>7</v>
      </c>
      <c r="C319" t="s">
        <v>23</v>
      </c>
      <c r="D319" t="s">
        <v>22</v>
      </c>
      <c r="E319" s="3">
        <v>5000</v>
      </c>
      <c r="F319" s="4">
        <v>43955</v>
      </c>
      <c r="G319" s="2" t="s">
        <v>10</v>
      </c>
      <c r="L319">
        <v>542</v>
      </c>
      <c r="M319" t="str">
        <v>PROGRAMA</v>
      </c>
      <c r="N319" t="str">
        <v>CLIENTE-0007</v>
      </c>
      <c r="O319" t="str">
        <v>BARCELONA</v>
      </c>
      <c r="P319">
        <v>350</v>
      </c>
      <c r="Q319">
        <v>44005</v>
      </c>
      <c r="R319" t="str">
        <v>SI</v>
      </c>
    </row>
    <row r="320" spans="1:18" x14ac:dyDescent="0.25">
      <c r="A320" s="2">
        <v>319</v>
      </c>
      <c r="B320" t="s">
        <v>11</v>
      </c>
      <c r="C320" t="s">
        <v>24</v>
      </c>
      <c r="D320" t="s">
        <v>9</v>
      </c>
      <c r="E320" s="3">
        <v>6500</v>
      </c>
      <c r="F320" s="4">
        <v>43727</v>
      </c>
      <c r="G320" s="2" t="s">
        <v>26</v>
      </c>
      <c r="L320">
        <v>553</v>
      </c>
      <c r="M320" t="str">
        <v>EQUIPOS</v>
      </c>
      <c r="N320" t="str">
        <v>CLIENTE-0010</v>
      </c>
      <c r="O320" t="str">
        <v>MADRID</v>
      </c>
      <c r="P320">
        <v>350</v>
      </c>
      <c r="Q320">
        <v>43812</v>
      </c>
      <c r="R320" t="str">
        <v>SI</v>
      </c>
    </row>
    <row r="321" spans="1:18" x14ac:dyDescent="0.25">
      <c r="A321" s="2">
        <v>320</v>
      </c>
      <c r="B321" t="s">
        <v>14</v>
      </c>
      <c r="C321" t="s">
        <v>8</v>
      </c>
      <c r="D321" t="s">
        <v>9</v>
      </c>
      <c r="E321" s="3">
        <v>1200</v>
      </c>
      <c r="F321" s="4">
        <v>44358</v>
      </c>
      <c r="G321" s="2" t="s">
        <v>26</v>
      </c>
      <c r="L321">
        <v>588</v>
      </c>
      <c r="M321" t="str">
        <v>EQUIPOS</v>
      </c>
      <c r="N321" t="str">
        <v>CLIENTE-0005</v>
      </c>
      <c r="O321" t="str">
        <v>BARCELONA</v>
      </c>
      <c r="P321">
        <v>350</v>
      </c>
      <c r="Q321">
        <v>44038</v>
      </c>
      <c r="R321" t="str">
        <v>SI</v>
      </c>
    </row>
    <row r="322" spans="1:18" x14ac:dyDescent="0.25">
      <c r="A322" s="2">
        <v>321</v>
      </c>
      <c r="B322" t="s">
        <v>16</v>
      </c>
      <c r="C322" t="s">
        <v>12</v>
      </c>
      <c r="D322" t="s">
        <v>13</v>
      </c>
      <c r="E322" s="3">
        <v>800</v>
      </c>
      <c r="F322" s="4">
        <v>44440</v>
      </c>
      <c r="G322" s="2" t="s">
        <v>26</v>
      </c>
      <c r="L322">
        <v>611</v>
      </c>
      <c r="M322" t="str">
        <v>DESARROLLO</v>
      </c>
      <c r="N322" t="str">
        <v>CLIENTE-0004</v>
      </c>
      <c r="O322" t="str">
        <v>MADRID</v>
      </c>
      <c r="P322">
        <v>350</v>
      </c>
      <c r="Q322">
        <v>43742</v>
      </c>
      <c r="R322" t="str">
        <v>SI</v>
      </c>
    </row>
    <row r="323" spans="1:18" x14ac:dyDescent="0.25">
      <c r="A323" s="2">
        <v>322</v>
      </c>
      <c r="B323" t="s">
        <v>18</v>
      </c>
      <c r="C323" t="s">
        <v>12</v>
      </c>
      <c r="D323" t="s">
        <v>13</v>
      </c>
      <c r="E323" s="3">
        <v>750</v>
      </c>
      <c r="F323" s="4">
        <v>44217</v>
      </c>
      <c r="G323" s="2" t="s">
        <v>26</v>
      </c>
      <c r="L323">
        <v>622</v>
      </c>
      <c r="M323" t="str">
        <v>PROYECTO</v>
      </c>
      <c r="N323" t="str">
        <v>CLIENTE-0002</v>
      </c>
      <c r="O323" t="str">
        <v>ALICANTE</v>
      </c>
      <c r="P323">
        <v>350</v>
      </c>
      <c r="Q323">
        <v>44132</v>
      </c>
      <c r="R323" t="str">
        <v>NO</v>
      </c>
    </row>
    <row r="324" spans="1:18" x14ac:dyDescent="0.25">
      <c r="A324" s="2">
        <v>323</v>
      </c>
      <c r="B324" t="s">
        <v>20</v>
      </c>
      <c r="C324" t="s">
        <v>15</v>
      </c>
      <c r="D324" t="s">
        <v>13</v>
      </c>
      <c r="E324" s="3">
        <v>4500</v>
      </c>
      <c r="F324" s="4">
        <v>43593</v>
      </c>
      <c r="G324" s="2" t="s">
        <v>26</v>
      </c>
      <c r="L324">
        <v>655</v>
      </c>
      <c r="M324" t="str">
        <v>DESARROLLO</v>
      </c>
      <c r="N324" t="str">
        <v>CLIENTE-0001</v>
      </c>
      <c r="O324" t="str">
        <v>MADRID</v>
      </c>
      <c r="P324">
        <v>350</v>
      </c>
      <c r="Q324">
        <v>43961</v>
      </c>
      <c r="R324" t="str">
        <v>SI</v>
      </c>
    </row>
    <row r="325" spans="1:18" x14ac:dyDescent="0.25">
      <c r="A325" s="2">
        <v>324</v>
      </c>
      <c r="B325" t="s">
        <v>7</v>
      </c>
      <c r="C325" t="s">
        <v>17</v>
      </c>
      <c r="D325" t="s">
        <v>13</v>
      </c>
      <c r="E325" s="3">
        <v>500</v>
      </c>
      <c r="F325" s="4">
        <v>44424</v>
      </c>
      <c r="G325" s="2" t="s">
        <v>26</v>
      </c>
      <c r="L325">
        <v>666</v>
      </c>
      <c r="M325" t="str">
        <v>CONSULTORIA</v>
      </c>
      <c r="N325" t="str">
        <v>CLIENTE-0001</v>
      </c>
      <c r="O325" t="str">
        <v>MADRID</v>
      </c>
      <c r="P325">
        <v>350</v>
      </c>
      <c r="Q325">
        <v>44257</v>
      </c>
      <c r="R325" t="str">
        <v>SI</v>
      </c>
    </row>
    <row r="326" spans="1:18" x14ac:dyDescent="0.25">
      <c r="A326" s="2">
        <v>325</v>
      </c>
      <c r="B326" t="s">
        <v>11</v>
      </c>
      <c r="C326" t="s">
        <v>21</v>
      </c>
      <c r="D326" t="s">
        <v>22</v>
      </c>
      <c r="E326" s="3">
        <v>750</v>
      </c>
      <c r="F326" s="4">
        <v>44116</v>
      </c>
      <c r="G326" s="2" t="s">
        <v>10</v>
      </c>
      <c r="L326">
        <v>674</v>
      </c>
      <c r="M326" t="str">
        <v>DESARROLLO</v>
      </c>
      <c r="N326" t="str">
        <v>CLIENTE-0007</v>
      </c>
      <c r="O326" t="str">
        <v>BARCELONA</v>
      </c>
      <c r="P326">
        <v>350</v>
      </c>
      <c r="Q326">
        <v>44342</v>
      </c>
      <c r="R326" t="str">
        <v>NO</v>
      </c>
    </row>
    <row r="327" spans="1:18" x14ac:dyDescent="0.25">
      <c r="A327" s="2">
        <v>326</v>
      </c>
      <c r="B327" t="s">
        <v>14</v>
      </c>
      <c r="C327" t="s">
        <v>23</v>
      </c>
      <c r="D327" t="s">
        <v>22</v>
      </c>
      <c r="E327" s="3">
        <v>950</v>
      </c>
      <c r="F327" s="4">
        <v>43611</v>
      </c>
      <c r="G327" s="2" t="s">
        <v>10</v>
      </c>
      <c r="L327">
        <v>697</v>
      </c>
      <c r="M327" t="str">
        <v>PROYECTO</v>
      </c>
      <c r="N327" t="str">
        <v>CLIENTE-0005</v>
      </c>
      <c r="O327" t="str">
        <v>BARCELONA</v>
      </c>
      <c r="P327">
        <v>350</v>
      </c>
      <c r="Q327">
        <v>44518</v>
      </c>
      <c r="R327" t="str">
        <v>SI</v>
      </c>
    </row>
    <row r="328" spans="1:18" x14ac:dyDescent="0.25">
      <c r="A328" s="2">
        <v>327</v>
      </c>
      <c r="B328" t="s">
        <v>16</v>
      </c>
      <c r="C328" t="s">
        <v>24</v>
      </c>
      <c r="D328" t="s">
        <v>9</v>
      </c>
      <c r="E328" s="3">
        <v>680</v>
      </c>
      <c r="F328" s="4">
        <v>44302</v>
      </c>
      <c r="G328" s="2" t="s">
        <v>10</v>
      </c>
      <c r="L328">
        <v>708</v>
      </c>
      <c r="M328" t="str">
        <v>DESARROLLO</v>
      </c>
      <c r="N328" t="str">
        <v>CLIENTE-0008</v>
      </c>
      <c r="O328" t="str">
        <v>ALICANTE</v>
      </c>
      <c r="P328">
        <v>350</v>
      </c>
      <c r="Q328">
        <v>43905</v>
      </c>
      <c r="R328" t="str">
        <v>SI</v>
      </c>
    </row>
    <row r="329" spans="1:18" x14ac:dyDescent="0.25">
      <c r="A329" s="2">
        <v>328</v>
      </c>
      <c r="B329" t="s">
        <v>18</v>
      </c>
      <c r="C329" t="s">
        <v>25</v>
      </c>
      <c r="D329" t="s">
        <v>9</v>
      </c>
      <c r="E329" s="3">
        <v>950</v>
      </c>
      <c r="F329" s="4">
        <v>44411</v>
      </c>
      <c r="G329" s="2" t="s">
        <v>10</v>
      </c>
      <c r="L329">
        <v>731</v>
      </c>
      <c r="M329" t="str">
        <v>DESARROLLO</v>
      </c>
      <c r="N329" t="str">
        <v>CLIENTE-0007</v>
      </c>
      <c r="O329" t="str">
        <v>BARCELONA</v>
      </c>
      <c r="P329">
        <v>350</v>
      </c>
      <c r="Q329">
        <v>43501</v>
      </c>
      <c r="R329" t="str">
        <v>SI</v>
      </c>
    </row>
    <row r="330" spans="1:18" x14ac:dyDescent="0.25">
      <c r="A330" s="2">
        <v>329</v>
      </c>
      <c r="B330" t="s">
        <v>20</v>
      </c>
      <c r="C330" t="s">
        <v>24</v>
      </c>
      <c r="D330" t="s">
        <v>9</v>
      </c>
      <c r="E330" s="3">
        <v>1500</v>
      </c>
      <c r="F330" s="4">
        <v>43797</v>
      </c>
      <c r="G330" s="2" t="s">
        <v>10</v>
      </c>
      <c r="L330">
        <v>739</v>
      </c>
      <c r="M330" t="str">
        <v>EQUIPOS</v>
      </c>
      <c r="N330" t="str">
        <v>CLIENTE-0007</v>
      </c>
      <c r="O330" t="str">
        <v>BARCELONA</v>
      </c>
      <c r="P330">
        <v>350</v>
      </c>
      <c r="Q330">
        <v>43629</v>
      </c>
      <c r="R330" t="str">
        <v>SI</v>
      </c>
    </row>
    <row r="331" spans="1:18" x14ac:dyDescent="0.25">
      <c r="A331" s="2">
        <v>330</v>
      </c>
      <c r="B331" t="s">
        <v>7</v>
      </c>
      <c r="C331" t="s">
        <v>25</v>
      </c>
      <c r="D331" t="s">
        <v>9</v>
      </c>
      <c r="E331" s="3">
        <v>5000</v>
      </c>
      <c r="F331" s="4">
        <v>44459</v>
      </c>
      <c r="G331" s="2" t="s">
        <v>10</v>
      </c>
      <c r="L331">
        <v>762</v>
      </c>
      <c r="M331" t="str">
        <v>DESARROLLO</v>
      </c>
      <c r="N331" t="str">
        <v>CLIENTE-0009</v>
      </c>
      <c r="O331" t="str">
        <v>ALICANTE</v>
      </c>
      <c r="P331">
        <v>350</v>
      </c>
      <c r="Q331">
        <v>43794</v>
      </c>
      <c r="R331" t="str">
        <v>SI</v>
      </c>
    </row>
    <row r="332" spans="1:18" x14ac:dyDescent="0.25">
      <c r="A332" s="2">
        <v>331</v>
      </c>
      <c r="B332" t="s">
        <v>11</v>
      </c>
      <c r="C332" t="s">
        <v>27</v>
      </c>
      <c r="D332" t="s">
        <v>22</v>
      </c>
      <c r="E332" s="3">
        <v>6500</v>
      </c>
      <c r="F332" s="4">
        <v>43798</v>
      </c>
      <c r="G332" s="2" t="s">
        <v>10</v>
      </c>
      <c r="L332">
        <v>773</v>
      </c>
      <c r="M332" t="str">
        <v>PROYECTO</v>
      </c>
      <c r="N332" t="str">
        <v>CLIENTE-0010</v>
      </c>
      <c r="O332" t="str">
        <v>MADRID</v>
      </c>
      <c r="P332">
        <v>350</v>
      </c>
      <c r="Q332">
        <v>43743</v>
      </c>
      <c r="R332" t="str">
        <v>NO</v>
      </c>
    </row>
    <row r="333" spans="1:18" x14ac:dyDescent="0.25">
      <c r="A333" s="2">
        <v>332</v>
      </c>
      <c r="B333" t="s">
        <v>14</v>
      </c>
      <c r="C333" t="s">
        <v>19</v>
      </c>
      <c r="D333" t="s">
        <v>9</v>
      </c>
      <c r="E333" s="3">
        <v>8500</v>
      </c>
      <c r="F333" s="4">
        <v>43779</v>
      </c>
      <c r="G333" s="2" t="s">
        <v>10</v>
      </c>
      <c r="L333">
        <v>5</v>
      </c>
      <c r="M333" t="str">
        <v>FORMACION</v>
      </c>
      <c r="N333" t="str">
        <v>CLIENTE-0003</v>
      </c>
      <c r="O333" t="str">
        <v>MADRID</v>
      </c>
      <c r="P333">
        <v>500</v>
      </c>
      <c r="Q333">
        <v>43785</v>
      </c>
      <c r="R333" t="str">
        <v>SI</v>
      </c>
    </row>
    <row r="334" spans="1:18" x14ac:dyDescent="0.25">
      <c r="A334" s="2">
        <v>333</v>
      </c>
      <c r="B334" t="s">
        <v>20</v>
      </c>
      <c r="C334" t="s">
        <v>8</v>
      </c>
      <c r="D334" t="s">
        <v>9</v>
      </c>
      <c r="E334" s="3">
        <v>1200</v>
      </c>
      <c r="F334" s="4">
        <v>43879</v>
      </c>
      <c r="G334" s="2" t="s">
        <v>10</v>
      </c>
      <c r="L334">
        <v>28</v>
      </c>
      <c r="M334" t="str">
        <v>EQUIPOS</v>
      </c>
      <c r="N334" t="str">
        <v>CLIENTE-0005</v>
      </c>
      <c r="O334" t="str">
        <v>BARCELONA</v>
      </c>
      <c r="P334">
        <v>500</v>
      </c>
      <c r="Q334">
        <v>44322</v>
      </c>
      <c r="R334" t="str">
        <v>SI</v>
      </c>
    </row>
    <row r="335" spans="1:18" x14ac:dyDescent="0.25">
      <c r="A335" s="2">
        <v>334</v>
      </c>
      <c r="B335" t="s">
        <v>7</v>
      </c>
      <c r="C335" t="s">
        <v>12</v>
      </c>
      <c r="D335" t="s">
        <v>13</v>
      </c>
      <c r="E335" s="3">
        <v>300</v>
      </c>
      <c r="F335" s="4">
        <v>44310</v>
      </c>
      <c r="G335" s="2" t="s">
        <v>10</v>
      </c>
      <c r="L335">
        <v>62</v>
      </c>
      <c r="M335" t="str">
        <v>EQUIPOS</v>
      </c>
      <c r="N335" t="str">
        <v>CLIENTE-0002</v>
      </c>
      <c r="O335" t="str">
        <v>ALICANTE</v>
      </c>
      <c r="P335">
        <v>500</v>
      </c>
      <c r="Q335">
        <v>43956</v>
      </c>
      <c r="R335" t="str">
        <v>NO</v>
      </c>
    </row>
    <row r="336" spans="1:18" x14ac:dyDescent="0.25">
      <c r="A336" s="2">
        <v>335</v>
      </c>
      <c r="B336" t="s">
        <v>11</v>
      </c>
      <c r="C336" t="s">
        <v>15</v>
      </c>
      <c r="D336" t="s">
        <v>13</v>
      </c>
      <c r="E336" s="3">
        <v>200</v>
      </c>
      <c r="F336" s="4">
        <v>44190</v>
      </c>
      <c r="G336" s="2" t="s">
        <v>10</v>
      </c>
      <c r="L336">
        <v>74</v>
      </c>
      <c r="M336" t="str">
        <v>FORMACION</v>
      </c>
      <c r="N336" t="str">
        <v>CLIENTE-0006</v>
      </c>
      <c r="O336" t="str">
        <v>BARCELONA</v>
      </c>
      <c r="P336">
        <v>500</v>
      </c>
      <c r="Q336">
        <v>44016</v>
      </c>
      <c r="R336" t="str">
        <v>SI</v>
      </c>
    </row>
    <row r="337" spans="1:18" x14ac:dyDescent="0.25">
      <c r="A337" s="2">
        <v>336</v>
      </c>
      <c r="B337" t="s">
        <v>14</v>
      </c>
      <c r="C337" t="s">
        <v>17</v>
      </c>
      <c r="D337" t="s">
        <v>13</v>
      </c>
      <c r="E337" s="3">
        <v>150</v>
      </c>
      <c r="F337" s="4">
        <v>44401</v>
      </c>
      <c r="G337" s="2" t="s">
        <v>10</v>
      </c>
      <c r="L337">
        <v>97</v>
      </c>
      <c r="M337" t="str">
        <v>EQUIPOS</v>
      </c>
      <c r="N337" t="str">
        <v>CLIENTE-0005</v>
      </c>
      <c r="O337" t="str">
        <v>BARCELONA</v>
      </c>
      <c r="P337">
        <v>500</v>
      </c>
      <c r="Q337">
        <v>43785</v>
      </c>
      <c r="R337" t="str">
        <v>SI</v>
      </c>
    </row>
    <row r="338" spans="1:18" x14ac:dyDescent="0.25">
      <c r="A338" s="2">
        <v>337</v>
      </c>
      <c r="B338" t="s">
        <v>16</v>
      </c>
      <c r="C338" t="s">
        <v>21</v>
      </c>
      <c r="D338" t="s">
        <v>22</v>
      </c>
      <c r="E338" s="3">
        <v>120</v>
      </c>
      <c r="F338" s="4">
        <v>43586</v>
      </c>
      <c r="G338" s="2" t="s">
        <v>10</v>
      </c>
      <c r="L338">
        <v>131</v>
      </c>
      <c r="M338" t="str">
        <v>PROYECTO</v>
      </c>
      <c r="N338" t="str">
        <v>CLIENTE-0006</v>
      </c>
      <c r="O338" t="str">
        <v>BARCELONA</v>
      </c>
      <c r="P338">
        <v>500</v>
      </c>
      <c r="Q338">
        <v>43918</v>
      </c>
      <c r="R338" t="str">
        <v>SI</v>
      </c>
    </row>
    <row r="339" spans="1:18" x14ac:dyDescent="0.25">
      <c r="A339" s="2">
        <v>338</v>
      </c>
      <c r="B339" t="s">
        <v>18</v>
      </c>
      <c r="C339" t="s">
        <v>23</v>
      </c>
      <c r="D339" t="s">
        <v>22</v>
      </c>
      <c r="E339" s="3">
        <v>300</v>
      </c>
      <c r="F339" s="4">
        <v>43836</v>
      </c>
      <c r="G339" s="2" t="s">
        <v>10</v>
      </c>
      <c r="L339">
        <v>143</v>
      </c>
      <c r="M339" t="str">
        <v>PROYECTO</v>
      </c>
      <c r="N339" t="str">
        <v>CLIENTE-0005</v>
      </c>
      <c r="O339" t="str">
        <v>BARCELONA</v>
      </c>
      <c r="P339">
        <v>500</v>
      </c>
      <c r="Q339">
        <v>43906</v>
      </c>
      <c r="R339" t="str">
        <v>NO</v>
      </c>
    </row>
    <row r="340" spans="1:18" x14ac:dyDescent="0.25">
      <c r="A340" s="2">
        <v>339</v>
      </c>
      <c r="B340" t="s">
        <v>20</v>
      </c>
      <c r="C340" t="s">
        <v>24</v>
      </c>
      <c r="D340" t="s">
        <v>9</v>
      </c>
      <c r="E340" s="3">
        <v>350</v>
      </c>
      <c r="F340" s="4">
        <v>43734</v>
      </c>
      <c r="G340" s="2" t="s">
        <v>10</v>
      </c>
      <c r="L340">
        <v>166</v>
      </c>
      <c r="M340" t="str">
        <v>EQUIPOS</v>
      </c>
      <c r="N340" t="str">
        <v>CLIENTE-0008</v>
      </c>
      <c r="O340" t="str">
        <v>ALICANTE</v>
      </c>
      <c r="P340">
        <v>500</v>
      </c>
      <c r="Q340">
        <v>43539</v>
      </c>
      <c r="R340" t="str">
        <v>SI</v>
      </c>
    </row>
    <row r="341" spans="1:18" x14ac:dyDescent="0.25">
      <c r="A341" s="2">
        <v>340</v>
      </c>
      <c r="B341" t="s">
        <v>7</v>
      </c>
      <c r="C341" t="s">
        <v>8</v>
      </c>
      <c r="D341" t="s">
        <v>9</v>
      </c>
      <c r="E341" s="3">
        <v>300</v>
      </c>
      <c r="F341" s="4">
        <v>44155</v>
      </c>
      <c r="G341" s="2" t="s">
        <v>10</v>
      </c>
      <c r="L341">
        <v>200</v>
      </c>
      <c r="M341" t="str">
        <v>PROYECTO</v>
      </c>
      <c r="N341" t="str">
        <v>CLIENTE-0010</v>
      </c>
      <c r="O341" t="str">
        <v>MADRID</v>
      </c>
      <c r="P341">
        <v>500</v>
      </c>
      <c r="Q341">
        <v>43583</v>
      </c>
      <c r="R341" t="str">
        <v>SI</v>
      </c>
    </row>
    <row r="342" spans="1:18" x14ac:dyDescent="0.25">
      <c r="A342" s="2">
        <v>341</v>
      </c>
      <c r="B342" t="s">
        <v>11</v>
      </c>
      <c r="C342" t="s">
        <v>12</v>
      </c>
      <c r="D342" t="s">
        <v>13</v>
      </c>
      <c r="E342" s="3">
        <v>120</v>
      </c>
      <c r="F342" s="4">
        <v>43836</v>
      </c>
      <c r="G342" s="2" t="s">
        <v>10</v>
      </c>
      <c r="L342">
        <v>212</v>
      </c>
      <c r="M342" t="str">
        <v>DESARROLLO</v>
      </c>
      <c r="N342" t="str">
        <v>CLIENTE-0002</v>
      </c>
      <c r="O342" t="str">
        <v>ALICANTE</v>
      </c>
      <c r="P342">
        <v>500</v>
      </c>
      <c r="Q342">
        <v>43600</v>
      </c>
      <c r="R342" t="str">
        <v>NO</v>
      </c>
    </row>
    <row r="343" spans="1:18" x14ac:dyDescent="0.25">
      <c r="A343" s="2">
        <v>342</v>
      </c>
      <c r="B343" t="s">
        <v>14</v>
      </c>
      <c r="C343" t="s">
        <v>15</v>
      </c>
      <c r="D343" t="s">
        <v>13</v>
      </c>
      <c r="E343" s="3">
        <v>150</v>
      </c>
      <c r="F343" s="4">
        <v>43778</v>
      </c>
      <c r="G343" s="2" t="s">
        <v>10</v>
      </c>
      <c r="L343">
        <v>235</v>
      </c>
      <c r="M343" t="str">
        <v>CONSULTORIA</v>
      </c>
      <c r="N343" t="str">
        <v>CLIENTE-0010</v>
      </c>
      <c r="O343" t="str">
        <v>MADRID</v>
      </c>
      <c r="P343">
        <v>500</v>
      </c>
      <c r="Q343">
        <v>44424</v>
      </c>
      <c r="R343" t="str">
        <v>SI</v>
      </c>
    </row>
    <row r="344" spans="1:18" x14ac:dyDescent="0.25">
      <c r="A344" s="2">
        <v>343</v>
      </c>
      <c r="B344" t="s">
        <v>16</v>
      </c>
      <c r="C344" t="s">
        <v>17</v>
      </c>
      <c r="D344" t="s">
        <v>13</v>
      </c>
      <c r="E344" s="3">
        <v>1200</v>
      </c>
      <c r="F344" s="4">
        <v>43881</v>
      </c>
      <c r="G344" s="2" t="s">
        <v>10</v>
      </c>
      <c r="L344">
        <v>269</v>
      </c>
      <c r="M344" t="str">
        <v>FORMACION</v>
      </c>
      <c r="N344" t="str">
        <v>CLIENTE-0010</v>
      </c>
      <c r="O344" t="str">
        <v>MADRID</v>
      </c>
      <c r="P344">
        <v>500</v>
      </c>
      <c r="Q344">
        <v>43930</v>
      </c>
      <c r="R344" t="str">
        <v>SI</v>
      </c>
    </row>
    <row r="345" spans="1:18" x14ac:dyDescent="0.25">
      <c r="A345" s="2">
        <v>344</v>
      </c>
      <c r="B345" t="s">
        <v>18</v>
      </c>
      <c r="C345" t="s">
        <v>19</v>
      </c>
      <c r="D345" t="s">
        <v>9</v>
      </c>
      <c r="E345" s="3">
        <v>800</v>
      </c>
      <c r="F345" s="4">
        <v>43485</v>
      </c>
      <c r="G345" s="2" t="s">
        <v>10</v>
      </c>
      <c r="L345">
        <v>278</v>
      </c>
      <c r="M345" t="str">
        <v>PROYECTO</v>
      </c>
      <c r="N345" t="str">
        <v>CLIENTE-0009</v>
      </c>
      <c r="O345" t="str">
        <v>ALICANTE</v>
      </c>
      <c r="P345">
        <v>500</v>
      </c>
      <c r="Q345">
        <v>43811</v>
      </c>
      <c r="R345" t="str">
        <v>NO</v>
      </c>
    </row>
    <row r="346" spans="1:18" x14ac:dyDescent="0.25">
      <c r="A346" s="2">
        <v>345</v>
      </c>
      <c r="B346" t="s">
        <v>20</v>
      </c>
      <c r="C346" t="s">
        <v>8</v>
      </c>
      <c r="D346" t="s">
        <v>9</v>
      </c>
      <c r="E346" s="3">
        <v>750</v>
      </c>
      <c r="F346" s="4">
        <v>43697</v>
      </c>
      <c r="G346" s="2" t="s">
        <v>10</v>
      </c>
      <c r="L346">
        <v>312</v>
      </c>
      <c r="M346" t="str">
        <v>DESARROLLO</v>
      </c>
      <c r="N346" t="str">
        <v>CLIENTE-0003</v>
      </c>
      <c r="O346" t="str">
        <v>MADRID</v>
      </c>
      <c r="P346">
        <v>500</v>
      </c>
      <c r="Q346">
        <v>44556</v>
      </c>
      <c r="R346" t="str">
        <v>SI</v>
      </c>
    </row>
    <row r="347" spans="1:18" x14ac:dyDescent="0.25">
      <c r="A347" s="2">
        <v>346</v>
      </c>
      <c r="B347" t="s">
        <v>7</v>
      </c>
      <c r="C347" t="s">
        <v>12</v>
      </c>
      <c r="D347" t="s">
        <v>13</v>
      </c>
      <c r="E347" s="3">
        <v>4500</v>
      </c>
      <c r="F347" s="4">
        <v>44525</v>
      </c>
      <c r="G347" s="2" t="s">
        <v>26</v>
      </c>
      <c r="L347">
        <v>324</v>
      </c>
      <c r="M347" t="str">
        <v>DESARROLLO</v>
      </c>
      <c r="N347" t="str">
        <v>CLIENTE-0007</v>
      </c>
      <c r="O347" t="str">
        <v>BARCELONA</v>
      </c>
      <c r="P347">
        <v>500</v>
      </c>
      <c r="Q347">
        <v>44424</v>
      </c>
      <c r="R347" t="str">
        <v>NO</v>
      </c>
    </row>
    <row r="348" spans="1:18" x14ac:dyDescent="0.25">
      <c r="A348" s="2">
        <v>347</v>
      </c>
      <c r="B348" t="s">
        <v>11</v>
      </c>
      <c r="C348" t="s">
        <v>12</v>
      </c>
      <c r="D348" t="s">
        <v>13</v>
      </c>
      <c r="E348" s="3">
        <v>500</v>
      </c>
      <c r="F348" s="4">
        <v>44319</v>
      </c>
      <c r="G348" s="2" t="s">
        <v>26</v>
      </c>
      <c r="L348">
        <v>347</v>
      </c>
      <c r="M348" t="str">
        <v>PROYECTO</v>
      </c>
      <c r="N348" t="str">
        <v>CLIENTE-0005</v>
      </c>
      <c r="O348" t="str">
        <v>BARCELONA</v>
      </c>
      <c r="P348">
        <v>500</v>
      </c>
      <c r="Q348">
        <v>44319</v>
      </c>
      <c r="R348" t="str">
        <v>NO</v>
      </c>
    </row>
    <row r="349" spans="1:18" x14ac:dyDescent="0.25">
      <c r="A349" s="2">
        <v>348</v>
      </c>
      <c r="B349" t="s">
        <v>14</v>
      </c>
      <c r="C349" t="s">
        <v>15</v>
      </c>
      <c r="D349" t="s">
        <v>13</v>
      </c>
      <c r="E349" s="3">
        <v>750</v>
      </c>
      <c r="F349" s="4">
        <v>44556</v>
      </c>
      <c r="G349" s="2" t="s">
        <v>26</v>
      </c>
      <c r="L349">
        <v>389</v>
      </c>
      <c r="M349" t="str">
        <v>FORMACION</v>
      </c>
      <c r="N349" t="str">
        <v>CLIENTE-0007</v>
      </c>
      <c r="O349" t="str">
        <v>BARCELONA</v>
      </c>
      <c r="P349">
        <v>500</v>
      </c>
      <c r="Q349">
        <v>44101</v>
      </c>
      <c r="R349" t="str">
        <v>SI</v>
      </c>
    </row>
    <row r="350" spans="1:18" x14ac:dyDescent="0.25">
      <c r="A350" s="2">
        <v>349</v>
      </c>
      <c r="B350" t="s">
        <v>16</v>
      </c>
      <c r="C350" t="s">
        <v>17</v>
      </c>
      <c r="D350" t="s">
        <v>13</v>
      </c>
      <c r="E350" s="3">
        <v>950</v>
      </c>
      <c r="F350" s="4">
        <v>43778</v>
      </c>
      <c r="G350" s="2" t="s">
        <v>26</v>
      </c>
      <c r="L350">
        <v>423</v>
      </c>
      <c r="M350" t="str">
        <v>PROGRAMA</v>
      </c>
      <c r="N350" t="str">
        <v>CLIENTE-0003</v>
      </c>
      <c r="O350" t="str">
        <v>MADRID</v>
      </c>
      <c r="P350">
        <v>500</v>
      </c>
      <c r="Q350">
        <v>44208</v>
      </c>
      <c r="R350" t="str">
        <v>SI</v>
      </c>
    </row>
    <row r="351" spans="1:18" x14ac:dyDescent="0.25">
      <c r="A351" s="2">
        <v>350</v>
      </c>
      <c r="B351" t="s">
        <v>18</v>
      </c>
      <c r="C351" t="s">
        <v>21</v>
      </c>
      <c r="D351" t="s">
        <v>22</v>
      </c>
      <c r="E351" s="3">
        <v>680</v>
      </c>
      <c r="F351" s="4">
        <v>44198</v>
      </c>
      <c r="G351" s="2" t="s">
        <v>26</v>
      </c>
      <c r="L351">
        <v>435</v>
      </c>
      <c r="M351" t="str">
        <v>CONSULTORIA</v>
      </c>
      <c r="N351" t="str">
        <v>CLIENTE-0003</v>
      </c>
      <c r="O351" t="str">
        <v>MADRID</v>
      </c>
      <c r="P351">
        <v>500</v>
      </c>
      <c r="Q351">
        <v>44526</v>
      </c>
      <c r="R351" t="str">
        <v>SI</v>
      </c>
    </row>
    <row r="352" spans="1:18" x14ac:dyDescent="0.25">
      <c r="A352" s="2">
        <v>351</v>
      </c>
      <c r="B352" t="s">
        <v>20</v>
      </c>
      <c r="C352" t="s">
        <v>23</v>
      </c>
      <c r="D352" t="s">
        <v>22</v>
      </c>
      <c r="E352" s="3">
        <v>950</v>
      </c>
      <c r="F352" s="4">
        <v>44277</v>
      </c>
      <c r="G352" s="2" t="s">
        <v>26</v>
      </c>
      <c r="L352">
        <v>458</v>
      </c>
      <c r="M352" t="str">
        <v>PROGRAMA</v>
      </c>
      <c r="N352" t="str">
        <v>CLIENTE-0005</v>
      </c>
      <c r="O352" t="str">
        <v>BARCELONA</v>
      </c>
      <c r="P352">
        <v>500</v>
      </c>
      <c r="Q352">
        <v>43933</v>
      </c>
      <c r="R352" t="str">
        <v>SI</v>
      </c>
    </row>
    <row r="353" spans="1:18" x14ac:dyDescent="0.25">
      <c r="A353" s="2">
        <v>352</v>
      </c>
      <c r="B353" t="s">
        <v>7</v>
      </c>
      <c r="C353" t="s">
        <v>24</v>
      </c>
      <c r="D353" t="s">
        <v>9</v>
      </c>
      <c r="E353" s="3">
        <v>1500</v>
      </c>
      <c r="F353" s="4">
        <v>43523</v>
      </c>
      <c r="G353" s="2" t="s">
        <v>26</v>
      </c>
      <c r="L353">
        <v>492</v>
      </c>
      <c r="M353" t="str">
        <v>PROGRAMA</v>
      </c>
      <c r="N353" t="str">
        <v>CLIENTE-0002</v>
      </c>
      <c r="O353" t="str">
        <v>ALICANTE</v>
      </c>
      <c r="P353">
        <v>500</v>
      </c>
      <c r="Q353">
        <v>43585</v>
      </c>
      <c r="R353" t="str">
        <v>SI</v>
      </c>
    </row>
    <row r="354" spans="1:18" x14ac:dyDescent="0.25">
      <c r="A354" s="2">
        <v>353</v>
      </c>
      <c r="B354" t="s">
        <v>14</v>
      </c>
      <c r="C354" t="s">
        <v>25</v>
      </c>
      <c r="D354" t="s">
        <v>9</v>
      </c>
      <c r="E354" s="3">
        <v>5000</v>
      </c>
      <c r="F354" s="4">
        <v>44172</v>
      </c>
      <c r="G354" s="2" t="s">
        <v>10</v>
      </c>
      <c r="L354">
        <v>504</v>
      </c>
      <c r="M354" t="str">
        <v>EQUIPOS</v>
      </c>
      <c r="N354" t="str">
        <v>CLIENTE-0006</v>
      </c>
      <c r="O354" t="str">
        <v>BARCELONA</v>
      </c>
      <c r="P354">
        <v>500</v>
      </c>
      <c r="Q354">
        <v>43752</v>
      </c>
      <c r="R354" t="str">
        <v>SI</v>
      </c>
    </row>
    <row r="355" spans="1:18" x14ac:dyDescent="0.25">
      <c r="A355" s="2">
        <v>354</v>
      </c>
      <c r="B355" t="s">
        <v>16</v>
      </c>
      <c r="C355" t="s">
        <v>24</v>
      </c>
      <c r="D355" t="s">
        <v>9</v>
      </c>
      <c r="E355" s="3">
        <v>6500</v>
      </c>
      <c r="F355" s="4">
        <v>44004</v>
      </c>
      <c r="G355" s="2" t="s">
        <v>10</v>
      </c>
      <c r="L355">
        <v>527</v>
      </c>
      <c r="M355" t="str">
        <v>DESARROLLO</v>
      </c>
      <c r="N355" t="str">
        <v>CLIENTE-0005</v>
      </c>
      <c r="O355" t="str">
        <v>BARCELONA</v>
      </c>
      <c r="P355">
        <v>500</v>
      </c>
      <c r="Q355">
        <v>43836</v>
      </c>
      <c r="R355" t="str">
        <v>SI</v>
      </c>
    </row>
    <row r="356" spans="1:18" x14ac:dyDescent="0.25">
      <c r="A356" s="2">
        <v>355</v>
      </c>
      <c r="B356" t="s">
        <v>18</v>
      </c>
      <c r="C356" t="s">
        <v>25</v>
      </c>
      <c r="D356" t="s">
        <v>9</v>
      </c>
      <c r="E356" s="3">
        <v>8500</v>
      </c>
      <c r="F356" s="4">
        <v>43666</v>
      </c>
      <c r="G356" s="2" t="s">
        <v>10</v>
      </c>
      <c r="L356">
        <v>561</v>
      </c>
      <c r="M356" t="str">
        <v>DESARROLLO</v>
      </c>
      <c r="N356" t="str">
        <v>CLIENTE-0006</v>
      </c>
      <c r="O356" t="str">
        <v>BARCELONA</v>
      </c>
      <c r="P356">
        <v>500</v>
      </c>
      <c r="Q356">
        <v>43641</v>
      </c>
      <c r="R356" t="str">
        <v>SI</v>
      </c>
    </row>
    <row r="357" spans="1:18" x14ac:dyDescent="0.25">
      <c r="A357" s="2">
        <v>356</v>
      </c>
      <c r="B357" t="s">
        <v>20</v>
      </c>
      <c r="C357" t="s">
        <v>27</v>
      </c>
      <c r="D357" t="s">
        <v>22</v>
      </c>
      <c r="E357" s="3">
        <v>1200</v>
      </c>
      <c r="F357" s="4">
        <v>44290</v>
      </c>
      <c r="G357" s="2" t="s">
        <v>10</v>
      </c>
      <c r="L357">
        <v>573</v>
      </c>
      <c r="M357" t="str">
        <v>DESARROLLO</v>
      </c>
      <c r="N357" t="str">
        <v>CLIENTE-0010</v>
      </c>
      <c r="O357" t="str">
        <v>MADRID</v>
      </c>
      <c r="P357">
        <v>500</v>
      </c>
      <c r="Q357">
        <v>44089</v>
      </c>
      <c r="R357" t="str">
        <v>SI</v>
      </c>
    </row>
    <row r="358" spans="1:18" x14ac:dyDescent="0.25">
      <c r="A358" s="2">
        <v>357</v>
      </c>
      <c r="B358" t="s">
        <v>7</v>
      </c>
      <c r="C358" t="s">
        <v>19</v>
      </c>
      <c r="D358" t="s">
        <v>9</v>
      </c>
      <c r="E358" s="3">
        <v>300</v>
      </c>
      <c r="F358" s="4">
        <v>44102</v>
      </c>
      <c r="G358" s="2" t="s">
        <v>10</v>
      </c>
      <c r="L358">
        <v>596</v>
      </c>
      <c r="M358" t="str">
        <v>DESARROLLO</v>
      </c>
      <c r="N358" t="str">
        <v>CLIENTE-0001</v>
      </c>
      <c r="O358" t="str">
        <v>MADRID</v>
      </c>
      <c r="P358">
        <v>500</v>
      </c>
      <c r="Q358">
        <v>43853</v>
      </c>
      <c r="R358" t="str">
        <v>SI</v>
      </c>
    </row>
    <row r="359" spans="1:18" x14ac:dyDescent="0.25">
      <c r="A359" s="2">
        <v>358</v>
      </c>
      <c r="B359" t="s">
        <v>11</v>
      </c>
      <c r="C359" t="s">
        <v>8</v>
      </c>
      <c r="D359" t="s">
        <v>9</v>
      </c>
      <c r="E359" s="3">
        <v>200</v>
      </c>
      <c r="F359" s="4">
        <v>43572</v>
      </c>
      <c r="G359" s="2" t="s">
        <v>10</v>
      </c>
      <c r="L359">
        <v>630</v>
      </c>
      <c r="M359" t="str">
        <v>PROGRAMA</v>
      </c>
      <c r="N359" t="str">
        <v>CLIENTE-0010</v>
      </c>
      <c r="O359" t="str">
        <v>MADRID</v>
      </c>
      <c r="P359">
        <v>500</v>
      </c>
      <c r="Q359">
        <v>44247</v>
      </c>
      <c r="R359" t="str">
        <v>SI</v>
      </c>
    </row>
    <row r="360" spans="1:18" x14ac:dyDescent="0.25">
      <c r="A360" s="2">
        <v>359</v>
      </c>
      <c r="B360" t="s">
        <v>14</v>
      </c>
      <c r="C360" t="s">
        <v>12</v>
      </c>
      <c r="D360" t="s">
        <v>13</v>
      </c>
      <c r="E360" s="3">
        <v>150</v>
      </c>
      <c r="F360" s="4">
        <v>44424</v>
      </c>
      <c r="G360" s="2" t="s">
        <v>10</v>
      </c>
      <c r="L360">
        <v>640</v>
      </c>
      <c r="M360" t="str">
        <v>PROYECTO</v>
      </c>
      <c r="N360" t="str">
        <v>CLIENTE-0010</v>
      </c>
      <c r="O360" t="str">
        <v>MADRID</v>
      </c>
      <c r="P360">
        <v>500</v>
      </c>
      <c r="Q360">
        <v>44251</v>
      </c>
      <c r="R360" t="str">
        <v>SI</v>
      </c>
    </row>
    <row r="361" spans="1:18" x14ac:dyDescent="0.25">
      <c r="A361" s="2">
        <v>360</v>
      </c>
      <c r="B361" t="s">
        <v>20</v>
      </c>
      <c r="C361" t="s">
        <v>15</v>
      </c>
      <c r="D361" t="s">
        <v>13</v>
      </c>
      <c r="E361" s="3">
        <v>120</v>
      </c>
      <c r="F361" s="4">
        <v>43867</v>
      </c>
      <c r="G361" s="2" t="s">
        <v>10</v>
      </c>
      <c r="L361">
        <v>682</v>
      </c>
      <c r="M361" t="str">
        <v>FORMACION</v>
      </c>
      <c r="N361" t="str">
        <v>CLIENTE-0003</v>
      </c>
      <c r="O361" t="str">
        <v>MADRID</v>
      </c>
      <c r="P361">
        <v>500</v>
      </c>
      <c r="Q361">
        <v>44079</v>
      </c>
      <c r="R361" t="str">
        <v>SI</v>
      </c>
    </row>
    <row r="362" spans="1:18" x14ac:dyDescent="0.25">
      <c r="A362" s="2">
        <v>361</v>
      </c>
      <c r="B362" t="s">
        <v>7</v>
      </c>
      <c r="C362" t="s">
        <v>17</v>
      </c>
      <c r="D362" t="s">
        <v>13</v>
      </c>
      <c r="E362" s="3">
        <v>300</v>
      </c>
      <c r="F362" s="4">
        <v>43467</v>
      </c>
      <c r="G362" s="2" t="s">
        <v>26</v>
      </c>
      <c r="L362">
        <v>716</v>
      </c>
      <c r="M362" t="str">
        <v>FORMACION</v>
      </c>
      <c r="N362" t="str">
        <v>CLIENTE-0004</v>
      </c>
      <c r="O362" t="str">
        <v>MADRID</v>
      </c>
      <c r="P362">
        <v>500</v>
      </c>
      <c r="Q362">
        <v>43901</v>
      </c>
      <c r="R362" t="str">
        <v>NO</v>
      </c>
    </row>
    <row r="363" spans="1:18" x14ac:dyDescent="0.25">
      <c r="A363" s="2">
        <v>362</v>
      </c>
      <c r="B363" t="s">
        <v>11</v>
      </c>
      <c r="C363" t="s">
        <v>21</v>
      </c>
      <c r="D363" t="s">
        <v>22</v>
      </c>
      <c r="E363" s="3">
        <v>350</v>
      </c>
      <c r="F363" s="4">
        <v>43952</v>
      </c>
      <c r="G363" s="2" t="s">
        <v>26</v>
      </c>
      <c r="L363">
        <v>728</v>
      </c>
      <c r="M363" t="str">
        <v>FORMACION</v>
      </c>
      <c r="N363" t="str">
        <v>CLIENTE-0004</v>
      </c>
      <c r="O363" t="str">
        <v>MADRID</v>
      </c>
      <c r="P363">
        <v>500</v>
      </c>
      <c r="Q363">
        <v>44243</v>
      </c>
      <c r="R363" t="str">
        <v>SI</v>
      </c>
    </row>
    <row r="364" spans="1:18" x14ac:dyDescent="0.25">
      <c r="A364" s="2">
        <v>363</v>
      </c>
      <c r="B364" t="s">
        <v>14</v>
      </c>
      <c r="C364" t="s">
        <v>23</v>
      </c>
      <c r="D364" t="s">
        <v>22</v>
      </c>
      <c r="E364" s="3">
        <v>300</v>
      </c>
      <c r="F364" s="4">
        <v>43543</v>
      </c>
      <c r="G364" s="2" t="s">
        <v>26</v>
      </c>
      <c r="L364">
        <v>747</v>
      </c>
      <c r="M364" t="str">
        <v>DESARROLLO</v>
      </c>
      <c r="N364" t="str">
        <v>CLIENTE-0006</v>
      </c>
      <c r="O364" t="str">
        <v>BARCELONA</v>
      </c>
      <c r="P364">
        <v>500</v>
      </c>
      <c r="Q364">
        <v>43698</v>
      </c>
      <c r="R364" t="str">
        <v>SI</v>
      </c>
    </row>
    <row r="365" spans="1:18" x14ac:dyDescent="0.25">
      <c r="A365" s="2">
        <v>364</v>
      </c>
      <c r="B365" t="s">
        <v>16</v>
      </c>
      <c r="C365" t="s">
        <v>24</v>
      </c>
      <c r="D365" t="s">
        <v>9</v>
      </c>
      <c r="E365" s="3">
        <v>120</v>
      </c>
      <c r="F365" s="4">
        <v>44097</v>
      </c>
      <c r="G365" s="2" t="s">
        <v>26</v>
      </c>
      <c r="L365">
        <v>8</v>
      </c>
      <c r="M365" t="str">
        <v>PROYECTO</v>
      </c>
      <c r="N365" t="str">
        <v>CLIENTE-0005</v>
      </c>
      <c r="O365" t="str">
        <v>BARCELONA</v>
      </c>
      <c r="P365">
        <v>680</v>
      </c>
      <c r="Q365">
        <v>43669</v>
      </c>
      <c r="R365" t="str">
        <v>SI</v>
      </c>
    </row>
    <row r="366" spans="1:18" x14ac:dyDescent="0.25">
      <c r="A366" s="2">
        <v>365</v>
      </c>
      <c r="B366" t="s">
        <v>18</v>
      </c>
      <c r="C366" t="s">
        <v>8</v>
      </c>
      <c r="D366" t="s">
        <v>9</v>
      </c>
      <c r="E366" s="3">
        <v>150</v>
      </c>
      <c r="F366" s="4">
        <v>43794</v>
      </c>
      <c r="G366" s="2" t="s">
        <v>10</v>
      </c>
      <c r="L366">
        <v>31</v>
      </c>
      <c r="M366" t="str">
        <v>CONSULTORIA</v>
      </c>
      <c r="N366" t="str">
        <v>CLIENTE-0008</v>
      </c>
      <c r="O366" t="str">
        <v>ALICANTE</v>
      </c>
      <c r="P366">
        <v>680</v>
      </c>
      <c r="Q366">
        <v>44328</v>
      </c>
      <c r="R366" t="str">
        <v>SI</v>
      </c>
    </row>
    <row r="367" spans="1:18" x14ac:dyDescent="0.25">
      <c r="A367" s="2">
        <v>366</v>
      </c>
      <c r="B367" t="s">
        <v>20</v>
      </c>
      <c r="C367" t="s">
        <v>12</v>
      </c>
      <c r="D367" t="s">
        <v>13</v>
      </c>
      <c r="E367" s="3">
        <v>8500</v>
      </c>
      <c r="F367" s="4">
        <v>44331</v>
      </c>
      <c r="G367" s="2" t="s">
        <v>10</v>
      </c>
      <c r="L367">
        <v>65</v>
      </c>
      <c r="M367" t="str">
        <v>CONSULTORIA</v>
      </c>
      <c r="N367" t="str">
        <v>CLIENTE-0005</v>
      </c>
      <c r="O367" t="str">
        <v>BARCELONA</v>
      </c>
      <c r="P367">
        <v>680</v>
      </c>
      <c r="Q367">
        <v>44238</v>
      </c>
      <c r="R367" t="str">
        <v>SI</v>
      </c>
    </row>
    <row r="368" spans="1:18" x14ac:dyDescent="0.25">
      <c r="A368" s="2">
        <v>367</v>
      </c>
      <c r="B368" t="s">
        <v>7</v>
      </c>
      <c r="C368" t="s">
        <v>12</v>
      </c>
      <c r="D368" t="s">
        <v>13</v>
      </c>
      <c r="E368" s="3">
        <v>1200</v>
      </c>
      <c r="F368" s="4">
        <v>44115</v>
      </c>
      <c r="G368" s="2" t="s">
        <v>10</v>
      </c>
      <c r="L368">
        <v>77</v>
      </c>
      <c r="M368" t="str">
        <v>PROYECTO</v>
      </c>
      <c r="N368" t="str">
        <v>CLIENTE-0009</v>
      </c>
      <c r="O368" t="str">
        <v>ALICANTE</v>
      </c>
      <c r="P368">
        <v>680</v>
      </c>
      <c r="Q368">
        <v>43778</v>
      </c>
      <c r="R368" t="str">
        <v>SI</v>
      </c>
    </row>
    <row r="369" spans="1:18" x14ac:dyDescent="0.25">
      <c r="A369" s="2">
        <v>368</v>
      </c>
      <c r="B369" t="s">
        <v>11</v>
      </c>
      <c r="C369" t="s">
        <v>15</v>
      </c>
      <c r="D369" t="s">
        <v>13</v>
      </c>
      <c r="E369" s="3">
        <v>300</v>
      </c>
      <c r="F369" s="4">
        <v>44222</v>
      </c>
      <c r="G369" s="2" t="s">
        <v>10</v>
      </c>
      <c r="L369">
        <v>100</v>
      </c>
      <c r="M369" t="str">
        <v>CONSULTORIA</v>
      </c>
      <c r="N369" t="str">
        <v>CLIENTE-0007</v>
      </c>
      <c r="O369" t="str">
        <v>BARCELONA</v>
      </c>
      <c r="P369">
        <v>680</v>
      </c>
      <c r="Q369">
        <v>44495</v>
      </c>
      <c r="R369" t="str">
        <v>SI</v>
      </c>
    </row>
    <row r="370" spans="1:18" x14ac:dyDescent="0.25">
      <c r="A370" s="2">
        <v>369</v>
      </c>
      <c r="B370" t="s">
        <v>14</v>
      </c>
      <c r="C370" t="s">
        <v>17</v>
      </c>
      <c r="D370" t="s">
        <v>13</v>
      </c>
      <c r="E370" s="3">
        <v>200</v>
      </c>
      <c r="F370" s="4">
        <v>43931</v>
      </c>
      <c r="G370" s="2" t="s">
        <v>10</v>
      </c>
      <c r="L370">
        <v>134</v>
      </c>
      <c r="M370" t="str">
        <v>FORMACION</v>
      </c>
      <c r="N370" t="str">
        <v>CLIENTE-0009</v>
      </c>
      <c r="O370" t="str">
        <v>ALICANTE</v>
      </c>
      <c r="P370">
        <v>680</v>
      </c>
      <c r="Q370">
        <v>43521</v>
      </c>
      <c r="R370" t="str">
        <v>SI</v>
      </c>
    </row>
    <row r="371" spans="1:18" x14ac:dyDescent="0.25">
      <c r="A371" s="2">
        <v>370</v>
      </c>
      <c r="B371" t="s">
        <v>16</v>
      </c>
      <c r="C371" t="s">
        <v>21</v>
      </c>
      <c r="D371" t="s">
        <v>22</v>
      </c>
      <c r="E371" s="3">
        <v>150</v>
      </c>
      <c r="F371" s="4">
        <v>44529</v>
      </c>
      <c r="G371" s="2" t="s">
        <v>10</v>
      </c>
      <c r="L371">
        <v>146</v>
      </c>
      <c r="M371" t="str">
        <v>FORMACION</v>
      </c>
      <c r="N371" t="str">
        <v>CLIENTE-0008</v>
      </c>
      <c r="O371" t="str">
        <v>ALICANTE</v>
      </c>
      <c r="P371">
        <v>680</v>
      </c>
      <c r="Q371">
        <v>44550</v>
      </c>
      <c r="R371" t="str">
        <v>SI</v>
      </c>
    </row>
    <row r="372" spans="1:18" x14ac:dyDescent="0.25">
      <c r="A372" s="2">
        <v>371</v>
      </c>
      <c r="B372" t="s">
        <v>18</v>
      </c>
      <c r="C372" t="s">
        <v>23</v>
      </c>
      <c r="D372" t="s">
        <v>22</v>
      </c>
      <c r="E372" s="3">
        <v>120</v>
      </c>
      <c r="F372" s="4">
        <v>44292</v>
      </c>
      <c r="G372" s="2" t="s">
        <v>10</v>
      </c>
      <c r="L372">
        <v>169</v>
      </c>
      <c r="M372" t="str">
        <v>CONSULTORIA</v>
      </c>
      <c r="N372" t="str">
        <v>CLIENTE-0001</v>
      </c>
      <c r="O372" t="str">
        <v>MADRID</v>
      </c>
      <c r="P372">
        <v>680</v>
      </c>
      <c r="Q372">
        <v>43638</v>
      </c>
      <c r="R372" t="str">
        <v>SI</v>
      </c>
    </row>
    <row r="373" spans="1:18" x14ac:dyDescent="0.25">
      <c r="A373" s="2">
        <v>372</v>
      </c>
      <c r="B373" t="s">
        <v>20</v>
      </c>
      <c r="C373" t="s">
        <v>24</v>
      </c>
      <c r="D373" t="s">
        <v>9</v>
      </c>
      <c r="E373" s="3">
        <v>300</v>
      </c>
      <c r="F373" s="4">
        <v>43611</v>
      </c>
      <c r="G373" s="2" t="s">
        <v>10</v>
      </c>
      <c r="L373">
        <v>203</v>
      </c>
      <c r="M373" t="str">
        <v>PROYECTO</v>
      </c>
      <c r="N373" t="str">
        <v>CLIENTE-0005</v>
      </c>
      <c r="O373" t="str">
        <v>BARCELONA</v>
      </c>
      <c r="P373">
        <v>680</v>
      </c>
      <c r="Q373">
        <v>43951</v>
      </c>
      <c r="R373" t="str">
        <v>SI</v>
      </c>
    </row>
    <row r="374" spans="1:18" x14ac:dyDescent="0.25">
      <c r="A374" s="2">
        <v>373</v>
      </c>
      <c r="B374" t="s">
        <v>7</v>
      </c>
      <c r="C374" t="s">
        <v>25</v>
      </c>
      <c r="D374" t="s">
        <v>9</v>
      </c>
      <c r="E374" s="3">
        <v>350</v>
      </c>
      <c r="F374" s="4">
        <v>43548</v>
      </c>
      <c r="G374" s="2" t="s">
        <v>10</v>
      </c>
      <c r="L374">
        <v>215</v>
      </c>
      <c r="M374" t="str">
        <v>PROGRAMA</v>
      </c>
      <c r="N374" t="str">
        <v>CLIENTE-0005</v>
      </c>
      <c r="O374" t="str">
        <v>BARCELONA</v>
      </c>
      <c r="P374">
        <v>680</v>
      </c>
      <c r="Q374">
        <v>44197</v>
      </c>
      <c r="R374" t="str">
        <v>NO</v>
      </c>
    </row>
    <row r="375" spans="1:18" x14ac:dyDescent="0.25">
      <c r="A375" s="2">
        <v>374</v>
      </c>
      <c r="B375" t="s">
        <v>11</v>
      </c>
      <c r="C375" t="s">
        <v>24</v>
      </c>
      <c r="D375" t="s">
        <v>9</v>
      </c>
      <c r="E375" s="3">
        <v>8500</v>
      </c>
      <c r="F375" s="4">
        <v>43519</v>
      </c>
      <c r="G375" s="2" t="s">
        <v>10</v>
      </c>
      <c r="L375">
        <v>238</v>
      </c>
      <c r="M375" t="str">
        <v>EQUIPOS</v>
      </c>
      <c r="N375" t="str">
        <v>CLIENTE-0003</v>
      </c>
      <c r="O375" t="str">
        <v>MADRID</v>
      </c>
      <c r="P375">
        <v>680</v>
      </c>
      <c r="Q375">
        <v>43572</v>
      </c>
      <c r="R375" t="str">
        <v>SI</v>
      </c>
    </row>
    <row r="376" spans="1:18" x14ac:dyDescent="0.25">
      <c r="A376" s="2">
        <v>375</v>
      </c>
      <c r="B376" t="s">
        <v>14</v>
      </c>
      <c r="C376" t="s">
        <v>25</v>
      </c>
      <c r="D376" t="s">
        <v>9</v>
      </c>
      <c r="E376" s="3">
        <v>1200</v>
      </c>
      <c r="F376" s="4">
        <v>44311</v>
      </c>
      <c r="G376" s="2" t="s">
        <v>10</v>
      </c>
      <c r="L376">
        <v>272</v>
      </c>
      <c r="M376" t="str">
        <v>PROYECTO</v>
      </c>
      <c r="N376" t="str">
        <v>CLIENTE-0003</v>
      </c>
      <c r="O376" t="str">
        <v>MADRID</v>
      </c>
      <c r="P376">
        <v>680</v>
      </c>
      <c r="Q376">
        <v>44036</v>
      </c>
      <c r="R376" t="str">
        <v>SI</v>
      </c>
    </row>
    <row r="377" spans="1:18" x14ac:dyDescent="0.25">
      <c r="A377" s="2">
        <v>376</v>
      </c>
      <c r="B377" t="s">
        <v>16</v>
      </c>
      <c r="C377" t="s">
        <v>27</v>
      </c>
      <c r="D377" t="s">
        <v>22</v>
      </c>
      <c r="E377" s="3">
        <v>300</v>
      </c>
      <c r="F377" s="4">
        <v>44034</v>
      </c>
      <c r="G377" s="2" t="s">
        <v>10</v>
      </c>
      <c r="L377">
        <v>281</v>
      </c>
      <c r="M377" t="str">
        <v>DESARROLLO</v>
      </c>
      <c r="N377" t="str">
        <v>CLIENTE-0005</v>
      </c>
      <c r="O377" t="str">
        <v>BARCELONA</v>
      </c>
      <c r="P377">
        <v>680</v>
      </c>
      <c r="Q377">
        <v>43921</v>
      </c>
      <c r="R377" t="str">
        <v>NO</v>
      </c>
    </row>
    <row r="378" spans="1:18" x14ac:dyDescent="0.25">
      <c r="A378" s="2">
        <v>377</v>
      </c>
      <c r="B378" t="s">
        <v>18</v>
      </c>
      <c r="C378" t="s">
        <v>19</v>
      </c>
      <c r="D378" t="s">
        <v>9</v>
      </c>
      <c r="E378" s="3">
        <v>200</v>
      </c>
      <c r="F378" s="4">
        <v>44553</v>
      </c>
      <c r="G378" s="2" t="s">
        <v>26</v>
      </c>
      <c r="L378">
        <v>315</v>
      </c>
      <c r="M378" t="str">
        <v>PROGRAMA</v>
      </c>
      <c r="N378" t="str">
        <v>CLIENTE-0006</v>
      </c>
      <c r="O378" t="str">
        <v>BARCELONA</v>
      </c>
      <c r="P378">
        <v>680</v>
      </c>
      <c r="Q378">
        <v>44266</v>
      </c>
      <c r="R378" t="str">
        <v>SI</v>
      </c>
    </row>
    <row r="379" spans="1:18" x14ac:dyDescent="0.25">
      <c r="A379" s="2">
        <v>378</v>
      </c>
      <c r="B379" t="s">
        <v>20</v>
      </c>
      <c r="C379" t="s">
        <v>8</v>
      </c>
      <c r="D379" t="s">
        <v>9</v>
      </c>
      <c r="E379" s="3">
        <v>150</v>
      </c>
      <c r="F379" s="4">
        <v>43533</v>
      </c>
      <c r="G379" s="2" t="s">
        <v>26</v>
      </c>
      <c r="L379">
        <v>327</v>
      </c>
      <c r="M379" t="str">
        <v>PROGRAMA</v>
      </c>
      <c r="N379" t="str">
        <v>CLIENTE-0010</v>
      </c>
      <c r="O379" t="str">
        <v>MADRID</v>
      </c>
      <c r="P379">
        <v>680</v>
      </c>
      <c r="Q379">
        <v>44302</v>
      </c>
      <c r="R379" t="str">
        <v>SI</v>
      </c>
    </row>
    <row r="380" spans="1:18" x14ac:dyDescent="0.25">
      <c r="A380" s="2">
        <v>379</v>
      </c>
      <c r="B380" t="s">
        <v>7</v>
      </c>
      <c r="C380" t="s">
        <v>12</v>
      </c>
      <c r="D380" t="s">
        <v>13</v>
      </c>
      <c r="E380" s="3">
        <v>120</v>
      </c>
      <c r="F380" s="4">
        <v>44265</v>
      </c>
      <c r="G380" s="2" t="s">
        <v>26</v>
      </c>
      <c r="L380">
        <v>350</v>
      </c>
      <c r="M380" t="str">
        <v>FORMACION</v>
      </c>
      <c r="N380" t="str">
        <v>CLIENTE-0008</v>
      </c>
      <c r="O380" t="str">
        <v>ALICANTE</v>
      </c>
      <c r="P380">
        <v>680</v>
      </c>
      <c r="Q380">
        <v>44198</v>
      </c>
      <c r="R380" t="str">
        <v>NO</v>
      </c>
    </row>
    <row r="381" spans="1:18" x14ac:dyDescent="0.25">
      <c r="A381" s="2">
        <v>380</v>
      </c>
      <c r="B381" t="s">
        <v>11</v>
      </c>
      <c r="C381" t="s">
        <v>15</v>
      </c>
      <c r="D381" t="s">
        <v>13</v>
      </c>
      <c r="E381" s="3">
        <v>300</v>
      </c>
      <c r="F381" s="4">
        <v>44136</v>
      </c>
      <c r="G381" s="2" t="s">
        <v>26</v>
      </c>
      <c r="L381">
        <v>392</v>
      </c>
      <c r="M381" t="str">
        <v>PROYECTO</v>
      </c>
      <c r="N381" t="str">
        <v>CLIENTE-0005</v>
      </c>
      <c r="O381" t="str">
        <v>BARCELONA</v>
      </c>
      <c r="P381">
        <v>680</v>
      </c>
      <c r="Q381">
        <v>44142</v>
      </c>
      <c r="R381" t="str">
        <v>NO</v>
      </c>
    </row>
    <row r="382" spans="1:18" x14ac:dyDescent="0.25">
      <c r="A382" s="2">
        <v>381</v>
      </c>
      <c r="B382" t="s">
        <v>14</v>
      </c>
      <c r="C382" t="s">
        <v>17</v>
      </c>
      <c r="D382" t="s">
        <v>13</v>
      </c>
      <c r="E382" s="3">
        <v>350</v>
      </c>
      <c r="F382" s="4">
        <v>43849</v>
      </c>
      <c r="G382" s="2" t="s">
        <v>26</v>
      </c>
      <c r="L382">
        <v>426</v>
      </c>
      <c r="M382" t="str">
        <v>DESARROLLO</v>
      </c>
      <c r="N382" t="str">
        <v>CLIENTE-0006</v>
      </c>
      <c r="O382" t="str">
        <v>BARCELONA</v>
      </c>
      <c r="P382">
        <v>680</v>
      </c>
      <c r="Q382">
        <v>44218</v>
      </c>
      <c r="R382" t="str">
        <v>SI</v>
      </c>
    </row>
    <row r="383" spans="1:18" x14ac:dyDescent="0.25">
      <c r="A383" s="2">
        <v>382</v>
      </c>
      <c r="B383" t="s">
        <v>16</v>
      </c>
      <c r="C383" t="s">
        <v>21</v>
      </c>
      <c r="D383" t="s">
        <v>22</v>
      </c>
      <c r="E383" s="3">
        <v>300</v>
      </c>
      <c r="F383" s="4">
        <v>44164</v>
      </c>
      <c r="G383" s="2" t="s">
        <v>26</v>
      </c>
      <c r="L383">
        <v>438</v>
      </c>
      <c r="M383" t="str">
        <v>EQUIPOS</v>
      </c>
      <c r="N383" t="str">
        <v>CLIENTE-0005</v>
      </c>
      <c r="O383" t="str">
        <v>BARCELONA</v>
      </c>
      <c r="P383">
        <v>680</v>
      </c>
      <c r="Q383">
        <v>44287</v>
      </c>
      <c r="R383" t="str">
        <v>NO</v>
      </c>
    </row>
    <row r="384" spans="1:18" x14ac:dyDescent="0.25">
      <c r="A384" s="2">
        <v>383</v>
      </c>
      <c r="B384" t="s">
        <v>18</v>
      </c>
      <c r="C384" t="s">
        <v>23</v>
      </c>
      <c r="D384" t="s">
        <v>22</v>
      </c>
      <c r="E384" s="3">
        <v>120</v>
      </c>
      <c r="F384" s="4">
        <v>44429</v>
      </c>
      <c r="G384" s="2" t="s">
        <v>26</v>
      </c>
      <c r="L384">
        <v>461</v>
      </c>
      <c r="M384" t="str">
        <v>DESARROLLO</v>
      </c>
      <c r="N384" t="str">
        <v>CLIENTE-0008</v>
      </c>
      <c r="O384" t="str">
        <v>ALICANTE</v>
      </c>
      <c r="P384">
        <v>680</v>
      </c>
      <c r="Q384">
        <v>44448</v>
      </c>
      <c r="R384" t="str">
        <v>SI</v>
      </c>
    </row>
    <row r="385" spans="1:18" x14ac:dyDescent="0.25">
      <c r="A385" s="2">
        <v>384</v>
      </c>
      <c r="B385" t="s">
        <v>20</v>
      </c>
      <c r="C385" t="s">
        <v>24</v>
      </c>
      <c r="D385" t="s">
        <v>9</v>
      </c>
      <c r="E385" s="3">
        <v>150</v>
      </c>
      <c r="F385" s="4">
        <v>43786</v>
      </c>
      <c r="G385" s="2" t="s">
        <v>10</v>
      </c>
      <c r="L385">
        <v>495</v>
      </c>
      <c r="M385" t="str">
        <v>DESARROLLO</v>
      </c>
      <c r="N385" t="str">
        <v>CLIENTE-0005</v>
      </c>
      <c r="O385" t="str">
        <v>BARCELONA</v>
      </c>
      <c r="P385">
        <v>680</v>
      </c>
      <c r="Q385">
        <v>44416</v>
      </c>
      <c r="R385" t="str">
        <v>SI</v>
      </c>
    </row>
    <row r="386" spans="1:18" x14ac:dyDescent="0.25">
      <c r="A386" s="2">
        <v>385</v>
      </c>
      <c r="B386" t="s">
        <v>7</v>
      </c>
      <c r="C386" t="s">
        <v>8</v>
      </c>
      <c r="D386" t="s">
        <v>9</v>
      </c>
      <c r="E386" s="3">
        <v>1200</v>
      </c>
      <c r="F386" s="4">
        <v>43625</v>
      </c>
      <c r="G386" s="2" t="s">
        <v>10</v>
      </c>
      <c r="L386">
        <v>507</v>
      </c>
      <c r="M386" t="str">
        <v>CONSULTORIA</v>
      </c>
      <c r="N386" t="str">
        <v>CLIENTE-0009</v>
      </c>
      <c r="O386" t="str">
        <v>ALICANTE</v>
      </c>
      <c r="P386">
        <v>680</v>
      </c>
      <c r="Q386">
        <v>44544</v>
      </c>
      <c r="R386" t="str">
        <v>NO</v>
      </c>
    </row>
    <row r="387" spans="1:18" x14ac:dyDescent="0.25">
      <c r="A387" s="2">
        <v>386</v>
      </c>
      <c r="B387" t="s">
        <v>11</v>
      </c>
      <c r="C387" t="s">
        <v>8</v>
      </c>
      <c r="D387" t="s">
        <v>9</v>
      </c>
      <c r="E387" s="3">
        <v>800</v>
      </c>
      <c r="F387" s="4">
        <v>43511</v>
      </c>
      <c r="G387" s="2" t="s">
        <v>10</v>
      </c>
      <c r="L387">
        <v>530</v>
      </c>
      <c r="M387" t="str">
        <v>PROGRAMA</v>
      </c>
      <c r="N387" t="str">
        <v>CLIENTE-0007</v>
      </c>
      <c r="O387" t="str">
        <v>BARCELONA</v>
      </c>
      <c r="P387">
        <v>680</v>
      </c>
      <c r="Q387">
        <v>43904</v>
      </c>
      <c r="R387" t="str">
        <v>SI</v>
      </c>
    </row>
    <row r="388" spans="1:18" x14ac:dyDescent="0.25">
      <c r="A388" s="2">
        <v>387</v>
      </c>
      <c r="B388" t="s">
        <v>14</v>
      </c>
      <c r="C388" t="s">
        <v>12</v>
      </c>
      <c r="D388" t="s">
        <v>13</v>
      </c>
      <c r="E388" s="3">
        <v>750</v>
      </c>
      <c r="F388" s="4">
        <v>43495</v>
      </c>
      <c r="G388" s="2" t="s">
        <v>10</v>
      </c>
      <c r="L388">
        <v>564</v>
      </c>
      <c r="M388" t="str">
        <v>PROGRAMA</v>
      </c>
      <c r="N388" t="str">
        <v>CLIENTE-0009</v>
      </c>
      <c r="O388" t="str">
        <v>ALICANTE</v>
      </c>
      <c r="P388">
        <v>680</v>
      </c>
      <c r="Q388">
        <v>44471</v>
      </c>
      <c r="R388" t="str">
        <v>SI</v>
      </c>
    </row>
    <row r="389" spans="1:18" x14ac:dyDescent="0.25">
      <c r="A389" s="2">
        <v>388</v>
      </c>
      <c r="B389" t="s">
        <v>16</v>
      </c>
      <c r="C389" t="s">
        <v>15</v>
      </c>
      <c r="D389" t="s">
        <v>13</v>
      </c>
      <c r="E389" s="3">
        <v>4500</v>
      </c>
      <c r="F389" s="4">
        <v>43842</v>
      </c>
      <c r="G389" s="2" t="s">
        <v>10</v>
      </c>
      <c r="L389">
        <v>576</v>
      </c>
      <c r="M389" t="str">
        <v>PROGRAMA</v>
      </c>
      <c r="N389" t="str">
        <v>CLIENTE-0001</v>
      </c>
      <c r="O389" t="str">
        <v>MADRID</v>
      </c>
      <c r="P389">
        <v>680</v>
      </c>
      <c r="Q389">
        <v>44050</v>
      </c>
      <c r="R389" t="str">
        <v>NO</v>
      </c>
    </row>
    <row r="390" spans="1:18" x14ac:dyDescent="0.25">
      <c r="A390" s="2">
        <v>389</v>
      </c>
      <c r="B390" t="s">
        <v>18</v>
      </c>
      <c r="C390" t="s">
        <v>17</v>
      </c>
      <c r="D390" t="s">
        <v>13</v>
      </c>
      <c r="E390" s="3">
        <v>500</v>
      </c>
      <c r="F390" s="4">
        <v>44101</v>
      </c>
      <c r="G390" s="2" t="s">
        <v>10</v>
      </c>
      <c r="L390">
        <v>599</v>
      </c>
      <c r="M390" t="str">
        <v>PROGRAMA</v>
      </c>
      <c r="N390" t="str">
        <v>CLIENTE-0004</v>
      </c>
      <c r="O390" t="str">
        <v>MADRID</v>
      </c>
      <c r="P390">
        <v>680</v>
      </c>
      <c r="Q390">
        <v>44559</v>
      </c>
      <c r="R390" t="str">
        <v>SI</v>
      </c>
    </row>
    <row r="391" spans="1:18" x14ac:dyDescent="0.25">
      <c r="A391" s="2">
        <v>390</v>
      </c>
      <c r="B391" t="s">
        <v>20</v>
      </c>
      <c r="C391" t="s">
        <v>19</v>
      </c>
      <c r="D391" t="s">
        <v>9</v>
      </c>
      <c r="E391" s="3">
        <v>750</v>
      </c>
      <c r="F391" s="4">
        <v>43984</v>
      </c>
      <c r="G391" s="2" t="s">
        <v>10</v>
      </c>
      <c r="L391">
        <v>633</v>
      </c>
      <c r="M391" t="str">
        <v>DESARROLLO</v>
      </c>
      <c r="N391" t="str">
        <v>CLIENTE-0005</v>
      </c>
      <c r="O391" t="str">
        <v>BARCELONA</v>
      </c>
      <c r="P391">
        <v>680</v>
      </c>
      <c r="Q391">
        <v>43476</v>
      </c>
      <c r="R391" t="str">
        <v>SI</v>
      </c>
    </row>
    <row r="392" spans="1:18" x14ac:dyDescent="0.25">
      <c r="A392" s="2">
        <v>391</v>
      </c>
      <c r="B392" t="s">
        <v>7</v>
      </c>
      <c r="C392" t="s">
        <v>8</v>
      </c>
      <c r="D392" t="s">
        <v>9</v>
      </c>
      <c r="E392" s="3">
        <v>950</v>
      </c>
      <c r="F392" s="4">
        <v>43979</v>
      </c>
      <c r="G392" s="2" t="s">
        <v>10</v>
      </c>
      <c r="L392">
        <v>643</v>
      </c>
      <c r="M392" t="str">
        <v>FORMACION</v>
      </c>
      <c r="N392" t="str">
        <v>CLIENTE-0003</v>
      </c>
      <c r="O392" t="str">
        <v>MADRID</v>
      </c>
      <c r="P392">
        <v>680</v>
      </c>
      <c r="Q392">
        <v>43861</v>
      </c>
      <c r="R392" t="str">
        <v>SI</v>
      </c>
    </row>
    <row r="393" spans="1:18" x14ac:dyDescent="0.25">
      <c r="A393" s="2">
        <v>392</v>
      </c>
      <c r="B393" t="s">
        <v>11</v>
      </c>
      <c r="C393" t="s">
        <v>12</v>
      </c>
      <c r="D393" t="s">
        <v>13</v>
      </c>
      <c r="E393" s="3">
        <v>680</v>
      </c>
      <c r="F393" s="4">
        <v>44142</v>
      </c>
      <c r="G393" s="2" t="s">
        <v>26</v>
      </c>
      <c r="L393">
        <v>685</v>
      </c>
      <c r="M393" t="str">
        <v>PROYECTO</v>
      </c>
      <c r="N393" t="str">
        <v>CLIENTE-0005</v>
      </c>
      <c r="O393" t="str">
        <v>BARCELONA</v>
      </c>
      <c r="P393">
        <v>680</v>
      </c>
      <c r="Q393">
        <v>43553</v>
      </c>
      <c r="R393" t="str">
        <v>SI</v>
      </c>
    </row>
    <row r="394" spans="1:18" x14ac:dyDescent="0.25">
      <c r="A394" s="2">
        <v>393</v>
      </c>
      <c r="B394" t="s">
        <v>14</v>
      </c>
      <c r="C394" t="s">
        <v>12</v>
      </c>
      <c r="D394" t="s">
        <v>13</v>
      </c>
      <c r="E394" s="3">
        <v>950</v>
      </c>
      <c r="F394" s="4">
        <v>44418</v>
      </c>
      <c r="G394" s="2" t="s">
        <v>26</v>
      </c>
      <c r="L394">
        <v>719</v>
      </c>
      <c r="M394" t="str">
        <v>PROYECTO</v>
      </c>
      <c r="N394" t="str">
        <v>CLIENTE-0007</v>
      </c>
      <c r="O394" t="str">
        <v>BARCELONA</v>
      </c>
      <c r="P394">
        <v>680</v>
      </c>
      <c r="Q394">
        <v>44479</v>
      </c>
      <c r="R394" t="str">
        <v>SI</v>
      </c>
    </row>
    <row r="395" spans="1:18" x14ac:dyDescent="0.25">
      <c r="A395" s="2">
        <v>394</v>
      </c>
      <c r="B395" t="s">
        <v>20</v>
      </c>
      <c r="C395" t="s">
        <v>15</v>
      </c>
      <c r="D395" t="s">
        <v>13</v>
      </c>
      <c r="E395" s="3">
        <v>1500</v>
      </c>
      <c r="F395" s="4">
        <v>43705</v>
      </c>
      <c r="G395" s="2" t="s">
        <v>26</v>
      </c>
      <c r="L395">
        <v>750</v>
      </c>
      <c r="M395" t="str">
        <v>PROGRAMA</v>
      </c>
      <c r="N395" t="str">
        <v>CLIENTE-0009</v>
      </c>
      <c r="O395" t="str">
        <v>ALICANTE</v>
      </c>
      <c r="P395">
        <v>680</v>
      </c>
      <c r="Q395">
        <v>44152</v>
      </c>
      <c r="R395" t="str">
        <v>SI</v>
      </c>
    </row>
    <row r="396" spans="1:18" x14ac:dyDescent="0.25">
      <c r="A396" s="2">
        <v>395</v>
      </c>
      <c r="B396" t="s">
        <v>7</v>
      </c>
      <c r="C396" t="s">
        <v>17</v>
      </c>
      <c r="D396" t="s">
        <v>13</v>
      </c>
      <c r="E396" s="3">
        <v>5000</v>
      </c>
      <c r="F396" s="4">
        <v>43903</v>
      </c>
      <c r="G396" s="2" t="s">
        <v>10</v>
      </c>
      <c r="L396">
        <v>3</v>
      </c>
      <c r="M396" t="str">
        <v>EQUIPOS</v>
      </c>
      <c r="N396" t="str">
        <v>CLIENTE-0006</v>
      </c>
      <c r="O396" t="str">
        <v>BARCELONA</v>
      </c>
      <c r="P396">
        <v>750</v>
      </c>
      <c r="Q396">
        <v>43934</v>
      </c>
      <c r="R396" t="str">
        <v>SI</v>
      </c>
    </row>
    <row r="397" spans="1:18" x14ac:dyDescent="0.25">
      <c r="A397" s="2">
        <v>396</v>
      </c>
      <c r="B397" t="s">
        <v>11</v>
      </c>
      <c r="C397" t="s">
        <v>21</v>
      </c>
      <c r="D397" t="s">
        <v>22</v>
      </c>
      <c r="E397" s="3">
        <v>6500</v>
      </c>
      <c r="F397" s="4">
        <v>43853</v>
      </c>
      <c r="G397" s="2" t="s">
        <v>10</v>
      </c>
      <c r="L397">
        <v>6</v>
      </c>
      <c r="M397" t="str">
        <v>CONSULTORIA</v>
      </c>
      <c r="N397" t="str">
        <v>CLIENTE-0004</v>
      </c>
      <c r="O397" t="str">
        <v>MADRID</v>
      </c>
      <c r="P397">
        <v>750</v>
      </c>
      <c r="Q397">
        <v>43514</v>
      </c>
      <c r="R397" t="str">
        <v>SI</v>
      </c>
    </row>
    <row r="398" spans="1:18" x14ac:dyDescent="0.25">
      <c r="A398" s="2">
        <v>397</v>
      </c>
      <c r="B398" t="s">
        <v>14</v>
      </c>
      <c r="C398" t="s">
        <v>23</v>
      </c>
      <c r="D398" t="s">
        <v>22</v>
      </c>
      <c r="E398" s="3">
        <v>8500</v>
      </c>
      <c r="F398" s="4">
        <v>43648</v>
      </c>
      <c r="G398" s="2" t="s">
        <v>10</v>
      </c>
      <c r="L398">
        <v>26</v>
      </c>
      <c r="M398" t="str">
        <v>PROGRAMA</v>
      </c>
      <c r="N398" t="str">
        <v>CLIENTE-0004</v>
      </c>
      <c r="O398" t="str">
        <v>MADRID</v>
      </c>
      <c r="P398">
        <v>750</v>
      </c>
      <c r="Q398">
        <v>43931</v>
      </c>
      <c r="R398" t="str">
        <v>SI</v>
      </c>
    </row>
    <row r="399" spans="1:18" x14ac:dyDescent="0.25">
      <c r="A399" s="2">
        <v>398</v>
      </c>
      <c r="B399" t="s">
        <v>16</v>
      </c>
      <c r="C399" t="s">
        <v>24</v>
      </c>
      <c r="D399" t="s">
        <v>9</v>
      </c>
      <c r="E399" s="3">
        <v>1200</v>
      </c>
      <c r="F399" s="4">
        <v>44214</v>
      </c>
      <c r="G399" s="2" t="s">
        <v>10</v>
      </c>
      <c r="L399">
        <v>29</v>
      </c>
      <c r="M399" t="str">
        <v>PROGRAMA</v>
      </c>
      <c r="N399" t="str">
        <v>CLIENTE-0006</v>
      </c>
      <c r="O399" t="str">
        <v>BARCELONA</v>
      </c>
      <c r="P399">
        <v>750</v>
      </c>
      <c r="Q399">
        <v>43912</v>
      </c>
      <c r="R399" t="str">
        <v>SI</v>
      </c>
    </row>
    <row r="400" spans="1:18" x14ac:dyDescent="0.25">
      <c r="A400" s="2">
        <v>399</v>
      </c>
      <c r="B400" t="s">
        <v>18</v>
      </c>
      <c r="C400" t="s">
        <v>25</v>
      </c>
      <c r="D400" t="s">
        <v>9</v>
      </c>
      <c r="E400" s="3">
        <v>300</v>
      </c>
      <c r="F400" s="4">
        <v>43963</v>
      </c>
      <c r="G400" s="2" t="s">
        <v>10</v>
      </c>
      <c r="L400">
        <v>60</v>
      </c>
      <c r="M400" t="str">
        <v>DESARROLLO</v>
      </c>
      <c r="N400" t="str">
        <v>CLIENTE-0010</v>
      </c>
      <c r="O400" t="str">
        <v>MADRID</v>
      </c>
      <c r="P400">
        <v>750</v>
      </c>
      <c r="Q400">
        <v>44096</v>
      </c>
      <c r="R400" t="str">
        <v>NO</v>
      </c>
    </row>
    <row r="401" spans="1:18" x14ac:dyDescent="0.25">
      <c r="A401" s="2">
        <v>400</v>
      </c>
      <c r="B401" t="s">
        <v>20</v>
      </c>
      <c r="C401" t="s">
        <v>24</v>
      </c>
      <c r="D401" t="s">
        <v>9</v>
      </c>
      <c r="E401" s="3">
        <v>200</v>
      </c>
      <c r="F401" s="4">
        <v>44380</v>
      </c>
      <c r="G401" s="2" t="s">
        <v>10</v>
      </c>
      <c r="L401">
        <v>63</v>
      </c>
      <c r="M401" t="str">
        <v>PROGRAMA</v>
      </c>
      <c r="N401" t="str">
        <v>CLIENTE-0003</v>
      </c>
      <c r="O401" t="str">
        <v>MADRID</v>
      </c>
      <c r="P401">
        <v>750</v>
      </c>
      <c r="Q401">
        <v>43950</v>
      </c>
      <c r="R401" t="str">
        <v>SI</v>
      </c>
    </row>
    <row r="402" spans="1:18" x14ac:dyDescent="0.25">
      <c r="A402" s="2">
        <v>401</v>
      </c>
      <c r="B402" t="s">
        <v>7</v>
      </c>
      <c r="C402" t="s">
        <v>25</v>
      </c>
      <c r="D402" t="s">
        <v>9</v>
      </c>
      <c r="E402" s="3">
        <v>150</v>
      </c>
      <c r="F402" s="4">
        <v>43770</v>
      </c>
      <c r="G402" s="2" t="s">
        <v>10</v>
      </c>
      <c r="L402">
        <v>72</v>
      </c>
      <c r="M402" t="str">
        <v>EQUIPOS</v>
      </c>
      <c r="N402" t="str">
        <v>CLIENTE-0005</v>
      </c>
      <c r="O402" t="str">
        <v>BARCELONA</v>
      </c>
      <c r="P402">
        <v>750</v>
      </c>
      <c r="Q402">
        <v>43977</v>
      </c>
      <c r="R402" t="str">
        <v>SI</v>
      </c>
    </row>
    <row r="403" spans="1:18" x14ac:dyDescent="0.25">
      <c r="A403" s="2">
        <v>402</v>
      </c>
      <c r="B403" t="s">
        <v>11</v>
      </c>
      <c r="C403" t="s">
        <v>27</v>
      </c>
      <c r="D403" t="s">
        <v>22</v>
      </c>
      <c r="E403" s="3">
        <v>120</v>
      </c>
      <c r="F403" s="4">
        <v>43520</v>
      </c>
      <c r="G403" s="2" t="s">
        <v>10</v>
      </c>
      <c r="L403">
        <v>75</v>
      </c>
      <c r="M403" t="str">
        <v>CONSULTORIA</v>
      </c>
      <c r="N403" t="str">
        <v>CLIENTE-0007</v>
      </c>
      <c r="O403" t="str">
        <v>BARCELONA</v>
      </c>
      <c r="P403">
        <v>750</v>
      </c>
      <c r="Q403">
        <v>44174</v>
      </c>
      <c r="R403" t="str">
        <v>SI</v>
      </c>
    </row>
    <row r="404" spans="1:18" x14ac:dyDescent="0.25">
      <c r="A404" s="2">
        <v>403</v>
      </c>
      <c r="B404" t="s">
        <v>14</v>
      </c>
      <c r="C404" t="s">
        <v>19</v>
      </c>
      <c r="D404" t="s">
        <v>9</v>
      </c>
      <c r="E404" s="3">
        <v>300</v>
      </c>
      <c r="F404" s="4">
        <v>44250</v>
      </c>
      <c r="G404" s="2" t="s">
        <v>10</v>
      </c>
      <c r="L404">
        <v>95</v>
      </c>
      <c r="M404" t="str">
        <v>DESARROLLO</v>
      </c>
      <c r="N404" t="str">
        <v>CLIENTE-0003</v>
      </c>
      <c r="O404" t="str">
        <v>MADRID</v>
      </c>
      <c r="P404">
        <v>750</v>
      </c>
      <c r="Q404">
        <v>44127</v>
      </c>
      <c r="R404" t="str">
        <v>SI</v>
      </c>
    </row>
    <row r="405" spans="1:18" x14ac:dyDescent="0.25">
      <c r="A405" s="2">
        <v>404</v>
      </c>
      <c r="B405" t="s">
        <v>16</v>
      </c>
      <c r="C405" t="s">
        <v>8</v>
      </c>
      <c r="D405" t="s">
        <v>9</v>
      </c>
      <c r="E405" s="3">
        <v>350</v>
      </c>
      <c r="F405" s="4">
        <v>44178</v>
      </c>
      <c r="G405" s="2" t="s">
        <v>10</v>
      </c>
      <c r="L405">
        <v>98</v>
      </c>
      <c r="M405" t="str">
        <v>PROGRAMA</v>
      </c>
      <c r="N405" t="str">
        <v>CLIENTE-0005</v>
      </c>
      <c r="O405" t="str">
        <v>BARCELONA</v>
      </c>
      <c r="P405">
        <v>750</v>
      </c>
      <c r="Q405">
        <v>43915</v>
      </c>
      <c r="R405" t="str">
        <v>SI</v>
      </c>
    </row>
    <row r="406" spans="1:18" x14ac:dyDescent="0.25">
      <c r="A406" s="2">
        <v>405</v>
      </c>
      <c r="B406" t="s">
        <v>18</v>
      </c>
      <c r="C406" t="s">
        <v>12</v>
      </c>
      <c r="D406" t="s">
        <v>13</v>
      </c>
      <c r="E406" s="3">
        <v>300</v>
      </c>
      <c r="F406" s="4">
        <v>43596</v>
      </c>
      <c r="G406" s="2" t="s">
        <v>10</v>
      </c>
      <c r="L406">
        <v>129</v>
      </c>
      <c r="M406" t="str">
        <v>CONSULTORIA</v>
      </c>
      <c r="N406" t="str">
        <v>CLIENTE-0004</v>
      </c>
      <c r="O406" t="str">
        <v>MADRID</v>
      </c>
      <c r="P406">
        <v>750</v>
      </c>
      <c r="Q406">
        <v>43664</v>
      </c>
      <c r="R406" t="str">
        <v>SI</v>
      </c>
    </row>
    <row r="407" spans="1:18" x14ac:dyDescent="0.25">
      <c r="A407" s="2">
        <v>406</v>
      </c>
      <c r="B407" t="s">
        <v>20</v>
      </c>
      <c r="C407" t="s">
        <v>15</v>
      </c>
      <c r="D407" t="s">
        <v>13</v>
      </c>
      <c r="E407" s="3">
        <v>120</v>
      </c>
      <c r="F407" s="4">
        <v>43868</v>
      </c>
      <c r="G407" s="2" t="s">
        <v>10</v>
      </c>
      <c r="L407">
        <v>132</v>
      </c>
      <c r="M407" t="str">
        <v>EQUIPOS</v>
      </c>
      <c r="N407" t="str">
        <v>CLIENTE-0007</v>
      </c>
      <c r="O407" t="str">
        <v>BARCELONA</v>
      </c>
      <c r="P407">
        <v>750</v>
      </c>
      <c r="Q407">
        <v>44391</v>
      </c>
      <c r="R407" t="str">
        <v>SI</v>
      </c>
    </row>
    <row r="408" spans="1:18" x14ac:dyDescent="0.25">
      <c r="A408" s="2">
        <v>407</v>
      </c>
      <c r="B408" t="s">
        <v>7</v>
      </c>
      <c r="C408" t="s">
        <v>17</v>
      </c>
      <c r="D408" t="s">
        <v>13</v>
      </c>
      <c r="E408" s="3">
        <v>150</v>
      </c>
      <c r="F408" s="4">
        <v>44050</v>
      </c>
      <c r="G408" s="2" t="s">
        <v>10</v>
      </c>
      <c r="L408">
        <v>141</v>
      </c>
      <c r="M408" t="str">
        <v>CONSULTORIA</v>
      </c>
      <c r="N408" t="str">
        <v>CLIENTE-0004</v>
      </c>
      <c r="O408" t="str">
        <v>MADRID</v>
      </c>
      <c r="P408">
        <v>750</v>
      </c>
      <c r="Q408">
        <v>43712</v>
      </c>
      <c r="R408" t="str">
        <v>NO</v>
      </c>
    </row>
    <row r="409" spans="1:18" x14ac:dyDescent="0.25">
      <c r="A409" s="2">
        <v>408</v>
      </c>
      <c r="B409" t="s">
        <v>11</v>
      </c>
      <c r="C409" t="s">
        <v>21</v>
      </c>
      <c r="D409" t="s">
        <v>22</v>
      </c>
      <c r="E409" s="3">
        <v>8500</v>
      </c>
      <c r="F409" s="4">
        <v>43514</v>
      </c>
      <c r="G409" s="2" t="s">
        <v>10</v>
      </c>
      <c r="L409">
        <v>144</v>
      </c>
      <c r="M409" t="str">
        <v>EQUIPOS</v>
      </c>
      <c r="N409" t="str">
        <v>CLIENTE-0006</v>
      </c>
      <c r="O409" t="str">
        <v>BARCELONA</v>
      </c>
      <c r="P409">
        <v>750</v>
      </c>
      <c r="Q409">
        <v>44112</v>
      </c>
      <c r="R409" t="str">
        <v>NO</v>
      </c>
    </row>
    <row r="410" spans="1:18" x14ac:dyDescent="0.25">
      <c r="A410" s="2">
        <v>409</v>
      </c>
      <c r="B410" t="s">
        <v>14</v>
      </c>
      <c r="C410" t="s">
        <v>23</v>
      </c>
      <c r="D410" t="s">
        <v>22</v>
      </c>
      <c r="E410" s="3">
        <v>1200</v>
      </c>
      <c r="F410" s="4">
        <v>44467</v>
      </c>
      <c r="G410" s="2" t="s">
        <v>26</v>
      </c>
      <c r="L410">
        <v>164</v>
      </c>
      <c r="M410" t="str">
        <v>DESARROLLO</v>
      </c>
      <c r="N410" t="str">
        <v>CLIENTE-0006</v>
      </c>
      <c r="O410" t="str">
        <v>BARCELONA</v>
      </c>
      <c r="P410">
        <v>750</v>
      </c>
      <c r="Q410">
        <v>44452</v>
      </c>
      <c r="R410" t="str">
        <v>SI</v>
      </c>
    </row>
    <row r="411" spans="1:18" x14ac:dyDescent="0.25">
      <c r="A411" s="2">
        <v>410</v>
      </c>
      <c r="B411" t="s">
        <v>16</v>
      </c>
      <c r="C411" t="s">
        <v>24</v>
      </c>
      <c r="D411" t="s">
        <v>9</v>
      </c>
      <c r="E411" s="3">
        <v>300</v>
      </c>
      <c r="F411" s="4">
        <v>44408</v>
      </c>
      <c r="G411" s="2" t="s">
        <v>26</v>
      </c>
      <c r="L411">
        <v>167</v>
      </c>
      <c r="M411" t="str">
        <v>PROGRAMA</v>
      </c>
      <c r="N411" t="str">
        <v>CLIENTE-0009</v>
      </c>
      <c r="O411" t="str">
        <v>ALICANTE</v>
      </c>
      <c r="P411">
        <v>750</v>
      </c>
      <c r="Q411">
        <v>44449</v>
      </c>
      <c r="R411" t="str">
        <v>SI</v>
      </c>
    </row>
    <row r="412" spans="1:18" x14ac:dyDescent="0.25">
      <c r="A412" s="2">
        <v>411</v>
      </c>
      <c r="B412" t="s">
        <v>18</v>
      </c>
      <c r="C412" t="s">
        <v>8</v>
      </c>
      <c r="D412" t="s">
        <v>9</v>
      </c>
      <c r="E412" s="3">
        <v>200</v>
      </c>
      <c r="F412" s="4">
        <v>44188</v>
      </c>
      <c r="G412" s="2" t="s">
        <v>26</v>
      </c>
      <c r="L412">
        <v>198</v>
      </c>
      <c r="M412" t="str">
        <v>CONSULTORIA</v>
      </c>
      <c r="N412" t="str">
        <v>CLIENTE-0008</v>
      </c>
      <c r="O412" t="str">
        <v>ALICANTE</v>
      </c>
      <c r="P412">
        <v>750</v>
      </c>
      <c r="Q412">
        <v>43576</v>
      </c>
      <c r="R412" t="str">
        <v>SI</v>
      </c>
    </row>
    <row r="413" spans="1:18" x14ac:dyDescent="0.25">
      <c r="A413" s="2">
        <v>412</v>
      </c>
      <c r="B413" t="s">
        <v>20</v>
      </c>
      <c r="C413" t="s">
        <v>12</v>
      </c>
      <c r="D413" t="s">
        <v>13</v>
      </c>
      <c r="E413" s="3">
        <v>150</v>
      </c>
      <c r="F413" s="4">
        <v>43808</v>
      </c>
      <c r="G413" s="2" t="s">
        <v>26</v>
      </c>
      <c r="L413">
        <v>201</v>
      </c>
      <c r="M413" t="str">
        <v>EQUIPOS</v>
      </c>
      <c r="N413" t="str">
        <v>CLIENTE-0004</v>
      </c>
      <c r="O413" t="str">
        <v>MADRID</v>
      </c>
      <c r="P413">
        <v>750</v>
      </c>
      <c r="Q413">
        <v>44437</v>
      </c>
      <c r="R413" t="str">
        <v>SI</v>
      </c>
    </row>
    <row r="414" spans="1:18" x14ac:dyDescent="0.25">
      <c r="A414" s="2">
        <v>413</v>
      </c>
      <c r="B414" t="s">
        <v>7</v>
      </c>
      <c r="C414" t="s">
        <v>12</v>
      </c>
      <c r="D414" t="s">
        <v>13</v>
      </c>
      <c r="E414" s="3">
        <v>120</v>
      </c>
      <c r="F414" s="4">
        <v>44434</v>
      </c>
      <c r="G414" s="2" t="s">
        <v>26</v>
      </c>
      <c r="L414">
        <v>210</v>
      </c>
      <c r="M414" t="str">
        <v>EQUIPOS</v>
      </c>
      <c r="N414" t="str">
        <v>CLIENTE-0010</v>
      </c>
      <c r="O414" t="str">
        <v>MADRID</v>
      </c>
      <c r="P414">
        <v>750</v>
      </c>
      <c r="Q414">
        <v>44069</v>
      </c>
      <c r="R414" t="str">
        <v>NO</v>
      </c>
    </row>
    <row r="415" spans="1:18" x14ac:dyDescent="0.25">
      <c r="A415" s="2">
        <v>414</v>
      </c>
      <c r="B415" t="s">
        <v>7</v>
      </c>
      <c r="C415" t="s">
        <v>15</v>
      </c>
      <c r="D415" t="s">
        <v>13</v>
      </c>
      <c r="E415" s="3">
        <v>300</v>
      </c>
      <c r="F415" s="4">
        <v>44337</v>
      </c>
      <c r="G415" s="2" t="s">
        <v>26</v>
      </c>
      <c r="L415">
        <v>213</v>
      </c>
      <c r="M415" t="str">
        <v>PROYECTO</v>
      </c>
      <c r="N415" t="str">
        <v>CLIENTE-0003</v>
      </c>
      <c r="O415" t="str">
        <v>MADRID</v>
      </c>
      <c r="P415">
        <v>750</v>
      </c>
      <c r="Q415">
        <v>44170</v>
      </c>
      <c r="R415" t="str">
        <v>NO</v>
      </c>
    </row>
    <row r="416" spans="1:18" x14ac:dyDescent="0.25">
      <c r="A416" s="2">
        <v>415</v>
      </c>
      <c r="B416" t="s">
        <v>11</v>
      </c>
      <c r="C416" t="s">
        <v>17</v>
      </c>
      <c r="D416" t="s">
        <v>13</v>
      </c>
      <c r="E416" s="3">
        <v>350</v>
      </c>
      <c r="F416" s="4">
        <v>44198</v>
      </c>
      <c r="G416" s="2" t="s">
        <v>26</v>
      </c>
      <c r="L416">
        <v>233</v>
      </c>
      <c r="M416" t="str">
        <v>PROGRAMA</v>
      </c>
      <c r="N416" t="str">
        <v>CLIENTE-0010</v>
      </c>
      <c r="O416" t="str">
        <v>MADRID</v>
      </c>
      <c r="P416">
        <v>750</v>
      </c>
      <c r="Q416">
        <v>44527</v>
      </c>
      <c r="R416" t="str">
        <v>SI</v>
      </c>
    </row>
    <row r="417" spans="1:18" x14ac:dyDescent="0.25">
      <c r="A417" s="2">
        <v>416</v>
      </c>
      <c r="B417" t="s">
        <v>14</v>
      </c>
      <c r="C417" t="s">
        <v>21</v>
      </c>
      <c r="D417" t="s">
        <v>22</v>
      </c>
      <c r="E417" s="3">
        <v>300</v>
      </c>
      <c r="F417" s="4">
        <v>43666</v>
      </c>
      <c r="G417" s="2" t="s">
        <v>10</v>
      </c>
      <c r="L417">
        <v>236</v>
      </c>
      <c r="M417" t="str">
        <v>DESARROLLO</v>
      </c>
      <c r="N417" t="str">
        <v>CLIENTE-0001</v>
      </c>
      <c r="O417" t="str">
        <v>MADRID</v>
      </c>
      <c r="P417">
        <v>750</v>
      </c>
      <c r="Q417">
        <v>44047</v>
      </c>
      <c r="R417" t="str">
        <v>SI</v>
      </c>
    </row>
    <row r="418" spans="1:18" x14ac:dyDescent="0.25">
      <c r="A418" s="2">
        <v>417</v>
      </c>
      <c r="B418" t="s">
        <v>16</v>
      </c>
      <c r="C418" t="s">
        <v>23</v>
      </c>
      <c r="D418" t="s">
        <v>22</v>
      </c>
      <c r="E418" s="3">
        <v>120</v>
      </c>
      <c r="F418" s="4">
        <v>43522</v>
      </c>
      <c r="G418" s="2" t="s">
        <v>10</v>
      </c>
      <c r="L418">
        <v>267</v>
      </c>
      <c r="M418" t="str">
        <v>EQUIPOS</v>
      </c>
      <c r="N418" t="str">
        <v>CLIENTE-0010</v>
      </c>
      <c r="O418" t="str">
        <v>MADRID</v>
      </c>
      <c r="P418">
        <v>750</v>
      </c>
      <c r="Q418">
        <v>43570</v>
      </c>
      <c r="R418" t="str">
        <v>SI</v>
      </c>
    </row>
    <row r="419" spans="1:18" x14ac:dyDescent="0.25">
      <c r="A419" s="2">
        <v>418</v>
      </c>
      <c r="B419" t="s">
        <v>18</v>
      </c>
      <c r="C419" t="s">
        <v>24</v>
      </c>
      <c r="D419" t="s">
        <v>9</v>
      </c>
      <c r="E419" s="3">
        <v>150</v>
      </c>
      <c r="F419" s="4">
        <v>44242</v>
      </c>
      <c r="G419" s="2" t="s">
        <v>10</v>
      </c>
      <c r="L419">
        <v>270</v>
      </c>
      <c r="M419" t="str">
        <v>CONSULTORIA</v>
      </c>
      <c r="N419" t="str">
        <v>CLIENTE-0001</v>
      </c>
      <c r="O419" t="str">
        <v>MADRID</v>
      </c>
      <c r="P419">
        <v>750</v>
      </c>
      <c r="Q419">
        <v>44428</v>
      </c>
      <c r="R419" t="str">
        <v>SI</v>
      </c>
    </row>
    <row r="420" spans="1:18" x14ac:dyDescent="0.25">
      <c r="A420" s="2">
        <v>419</v>
      </c>
      <c r="B420" t="s">
        <v>20</v>
      </c>
      <c r="C420" t="s">
        <v>25</v>
      </c>
      <c r="D420" t="s">
        <v>9</v>
      </c>
      <c r="E420" s="3">
        <v>1200</v>
      </c>
      <c r="F420" s="4">
        <v>44155</v>
      </c>
      <c r="G420" s="2" t="s">
        <v>10</v>
      </c>
      <c r="L420">
        <v>279</v>
      </c>
      <c r="M420" t="str">
        <v>EQUIPOS</v>
      </c>
      <c r="N420" t="str">
        <v>CLIENTE-0010</v>
      </c>
      <c r="O420" t="str">
        <v>MADRID</v>
      </c>
      <c r="P420">
        <v>750</v>
      </c>
      <c r="Q420">
        <v>44409</v>
      </c>
      <c r="R420" t="str">
        <v>NO</v>
      </c>
    </row>
    <row r="421" spans="1:18" x14ac:dyDescent="0.25">
      <c r="A421" s="2">
        <v>420</v>
      </c>
      <c r="B421" t="s">
        <v>7</v>
      </c>
      <c r="C421" t="s">
        <v>24</v>
      </c>
      <c r="D421" t="s">
        <v>9</v>
      </c>
      <c r="E421" s="3">
        <v>800</v>
      </c>
      <c r="F421" s="4">
        <v>44534</v>
      </c>
      <c r="G421" s="2" t="s">
        <v>10</v>
      </c>
      <c r="L421">
        <v>310</v>
      </c>
      <c r="M421" t="str">
        <v>FORMACION</v>
      </c>
      <c r="N421" t="str">
        <v>CLIENTE-0001</v>
      </c>
      <c r="O421" t="str">
        <v>MADRID</v>
      </c>
      <c r="P421">
        <v>750</v>
      </c>
      <c r="Q421">
        <v>44079</v>
      </c>
      <c r="R421" t="str">
        <v>NO</v>
      </c>
    </row>
    <row r="422" spans="1:18" x14ac:dyDescent="0.25">
      <c r="A422" s="2">
        <v>421</v>
      </c>
      <c r="B422" t="s">
        <v>11</v>
      </c>
      <c r="C422" t="s">
        <v>25</v>
      </c>
      <c r="D422" t="s">
        <v>9</v>
      </c>
      <c r="E422" s="3">
        <v>750</v>
      </c>
      <c r="F422" s="4">
        <v>43495</v>
      </c>
      <c r="G422" s="2" t="s">
        <v>10</v>
      </c>
      <c r="L422">
        <v>313</v>
      </c>
      <c r="M422" t="str">
        <v>PROYECTO</v>
      </c>
      <c r="N422" t="str">
        <v>CLIENTE-0004</v>
      </c>
      <c r="O422" t="str">
        <v>MADRID</v>
      </c>
      <c r="P422">
        <v>750</v>
      </c>
      <c r="Q422">
        <v>43721</v>
      </c>
      <c r="R422" t="str">
        <v>SI</v>
      </c>
    </row>
    <row r="423" spans="1:18" x14ac:dyDescent="0.25">
      <c r="A423" s="2">
        <v>422</v>
      </c>
      <c r="B423" t="s">
        <v>14</v>
      </c>
      <c r="C423" t="s">
        <v>27</v>
      </c>
      <c r="D423" t="s">
        <v>22</v>
      </c>
      <c r="E423" s="3">
        <v>4500</v>
      </c>
      <c r="F423" s="4">
        <v>44211</v>
      </c>
      <c r="G423" s="2" t="s">
        <v>10</v>
      </c>
      <c r="L423">
        <v>322</v>
      </c>
      <c r="M423" t="str">
        <v>FORMACION</v>
      </c>
      <c r="N423" t="str">
        <v>CLIENTE-0005</v>
      </c>
      <c r="O423" t="str">
        <v>BARCELONA</v>
      </c>
      <c r="P423">
        <v>750</v>
      </c>
      <c r="Q423">
        <v>44217</v>
      </c>
      <c r="R423" t="str">
        <v>NO</v>
      </c>
    </row>
    <row r="424" spans="1:18" x14ac:dyDescent="0.25">
      <c r="A424" s="2">
        <v>423</v>
      </c>
      <c r="B424" t="s">
        <v>16</v>
      </c>
      <c r="C424" t="s">
        <v>19</v>
      </c>
      <c r="D424" t="s">
        <v>9</v>
      </c>
      <c r="E424" s="3">
        <v>500</v>
      </c>
      <c r="F424" s="4">
        <v>44208</v>
      </c>
      <c r="G424" s="2" t="s">
        <v>10</v>
      </c>
      <c r="L424">
        <v>325</v>
      </c>
      <c r="M424" t="str">
        <v>PROYECTO</v>
      </c>
      <c r="N424" t="str">
        <v>CLIENTE-0008</v>
      </c>
      <c r="O424" t="str">
        <v>ALICANTE</v>
      </c>
      <c r="P424">
        <v>750</v>
      </c>
      <c r="Q424">
        <v>44116</v>
      </c>
      <c r="R424" t="str">
        <v>SI</v>
      </c>
    </row>
    <row r="425" spans="1:18" x14ac:dyDescent="0.25">
      <c r="A425" s="2">
        <v>424</v>
      </c>
      <c r="B425" t="s">
        <v>18</v>
      </c>
      <c r="C425" t="s">
        <v>8</v>
      </c>
      <c r="D425" t="s">
        <v>9</v>
      </c>
      <c r="E425" s="3">
        <v>750</v>
      </c>
      <c r="F425" s="4">
        <v>43644</v>
      </c>
      <c r="G425" s="2" t="s">
        <v>10</v>
      </c>
      <c r="L425">
        <v>345</v>
      </c>
      <c r="M425" t="str">
        <v>CONSULTORIA</v>
      </c>
      <c r="N425" t="str">
        <v>CLIENTE-0004</v>
      </c>
      <c r="O425" t="str">
        <v>MADRID</v>
      </c>
      <c r="P425">
        <v>750</v>
      </c>
      <c r="Q425">
        <v>43697</v>
      </c>
      <c r="R425" t="str">
        <v>SI</v>
      </c>
    </row>
    <row r="426" spans="1:18" x14ac:dyDescent="0.25">
      <c r="A426" s="2">
        <v>425</v>
      </c>
      <c r="B426" t="s">
        <v>20</v>
      </c>
      <c r="C426" t="s">
        <v>12</v>
      </c>
      <c r="D426" t="s">
        <v>13</v>
      </c>
      <c r="E426" s="3">
        <v>950</v>
      </c>
      <c r="F426" s="4">
        <v>43847</v>
      </c>
      <c r="G426" s="2" t="s">
        <v>10</v>
      </c>
      <c r="L426">
        <v>348</v>
      </c>
      <c r="M426" t="str">
        <v>EQUIPOS</v>
      </c>
      <c r="N426" t="str">
        <v>CLIENTE-0006</v>
      </c>
      <c r="O426" t="str">
        <v>BARCELONA</v>
      </c>
      <c r="P426">
        <v>750</v>
      </c>
      <c r="Q426">
        <v>44556</v>
      </c>
      <c r="R426" t="str">
        <v>NO</v>
      </c>
    </row>
    <row r="427" spans="1:18" x14ac:dyDescent="0.25">
      <c r="A427" s="2">
        <v>426</v>
      </c>
      <c r="B427" t="s">
        <v>7</v>
      </c>
      <c r="C427" t="s">
        <v>15</v>
      </c>
      <c r="D427" t="s">
        <v>13</v>
      </c>
      <c r="E427" s="3">
        <v>680</v>
      </c>
      <c r="F427" s="4">
        <v>44218</v>
      </c>
      <c r="G427" s="2" t="s">
        <v>10</v>
      </c>
      <c r="L427">
        <v>387</v>
      </c>
      <c r="M427" t="str">
        <v>EQUIPOS</v>
      </c>
      <c r="N427" t="str">
        <v>CLIENTE-0005</v>
      </c>
      <c r="O427" t="str">
        <v>BARCELONA</v>
      </c>
      <c r="P427">
        <v>750</v>
      </c>
      <c r="Q427">
        <v>43495</v>
      </c>
      <c r="R427" t="str">
        <v>SI</v>
      </c>
    </row>
    <row r="428" spans="1:18" x14ac:dyDescent="0.25">
      <c r="A428" s="2">
        <v>427</v>
      </c>
      <c r="B428" t="s">
        <v>11</v>
      </c>
      <c r="C428" t="s">
        <v>17</v>
      </c>
      <c r="D428" t="s">
        <v>13</v>
      </c>
      <c r="E428" s="3">
        <v>950</v>
      </c>
      <c r="F428" s="4">
        <v>43966</v>
      </c>
      <c r="G428" s="2" t="s">
        <v>10</v>
      </c>
      <c r="L428">
        <v>390</v>
      </c>
      <c r="M428" t="str">
        <v>CONSULTORIA</v>
      </c>
      <c r="N428" t="str">
        <v>CLIENTE-0003</v>
      </c>
      <c r="O428" t="str">
        <v>MADRID</v>
      </c>
      <c r="P428">
        <v>750</v>
      </c>
      <c r="Q428">
        <v>43984</v>
      </c>
      <c r="R428" t="str">
        <v>SI</v>
      </c>
    </row>
    <row r="429" spans="1:18" x14ac:dyDescent="0.25">
      <c r="A429" s="2">
        <v>428</v>
      </c>
      <c r="B429" t="s">
        <v>14</v>
      </c>
      <c r="C429" t="s">
        <v>21</v>
      </c>
      <c r="D429" t="s">
        <v>22</v>
      </c>
      <c r="E429" s="3">
        <v>1500</v>
      </c>
      <c r="F429" s="4">
        <v>43801</v>
      </c>
      <c r="G429" s="2" t="s">
        <v>10</v>
      </c>
      <c r="L429">
        <v>421</v>
      </c>
      <c r="M429" t="str">
        <v>PROYECTO</v>
      </c>
      <c r="N429" t="str">
        <v>CLIENTE-0001</v>
      </c>
      <c r="O429" t="str">
        <v>MADRID</v>
      </c>
      <c r="P429">
        <v>750</v>
      </c>
      <c r="Q429">
        <v>43495</v>
      </c>
      <c r="R429" t="str">
        <v>SI</v>
      </c>
    </row>
    <row r="430" spans="1:18" x14ac:dyDescent="0.25">
      <c r="A430" s="2">
        <v>429</v>
      </c>
      <c r="B430" t="s">
        <v>20</v>
      </c>
      <c r="C430" t="s">
        <v>23</v>
      </c>
      <c r="D430" t="s">
        <v>22</v>
      </c>
      <c r="E430" s="3">
        <v>5000</v>
      </c>
      <c r="F430" s="4">
        <v>43934</v>
      </c>
      <c r="G430" s="2" t="s">
        <v>10</v>
      </c>
      <c r="L430">
        <v>424</v>
      </c>
      <c r="M430" t="str">
        <v>FORMACION</v>
      </c>
      <c r="N430" t="str">
        <v>CLIENTE-0004</v>
      </c>
      <c r="O430" t="str">
        <v>MADRID</v>
      </c>
      <c r="P430">
        <v>750</v>
      </c>
      <c r="Q430">
        <v>43644</v>
      </c>
      <c r="R430" t="str">
        <v>SI</v>
      </c>
    </row>
    <row r="431" spans="1:18" x14ac:dyDescent="0.25">
      <c r="A431" s="2">
        <v>430</v>
      </c>
      <c r="B431" t="s">
        <v>7</v>
      </c>
      <c r="C431" t="s">
        <v>24</v>
      </c>
      <c r="D431" t="s">
        <v>9</v>
      </c>
      <c r="E431" s="3">
        <v>6500</v>
      </c>
      <c r="F431" s="4">
        <v>44123</v>
      </c>
      <c r="G431" s="2" t="s">
        <v>10</v>
      </c>
      <c r="L431">
        <v>433</v>
      </c>
      <c r="M431" t="str">
        <v>PROGRAMA</v>
      </c>
      <c r="N431" t="str">
        <v>CLIENTE-0006</v>
      </c>
      <c r="O431" t="str">
        <v>BARCELONA</v>
      </c>
      <c r="P431">
        <v>750</v>
      </c>
      <c r="Q431">
        <v>44340</v>
      </c>
      <c r="R431" t="str">
        <v>SI</v>
      </c>
    </row>
    <row r="432" spans="1:18" x14ac:dyDescent="0.25">
      <c r="A432" s="2">
        <v>431</v>
      </c>
      <c r="B432" t="s">
        <v>11</v>
      </c>
      <c r="C432" t="s">
        <v>8</v>
      </c>
      <c r="D432" t="s">
        <v>9</v>
      </c>
      <c r="E432" s="3">
        <v>1200</v>
      </c>
      <c r="F432" s="4">
        <v>43940</v>
      </c>
      <c r="G432" s="2" t="s">
        <v>10</v>
      </c>
      <c r="L432">
        <v>436</v>
      </c>
      <c r="M432" t="str">
        <v>DESARROLLO</v>
      </c>
      <c r="N432" t="str">
        <v>CLIENTE-0004</v>
      </c>
      <c r="O432" t="str">
        <v>MADRID</v>
      </c>
      <c r="P432">
        <v>750</v>
      </c>
      <c r="Q432">
        <v>44538</v>
      </c>
      <c r="R432" t="str">
        <v>SI</v>
      </c>
    </row>
    <row r="433" spans="1:18" x14ac:dyDescent="0.25">
      <c r="A433" s="2">
        <v>432</v>
      </c>
      <c r="B433" t="s">
        <v>14</v>
      </c>
      <c r="C433" t="s">
        <v>12</v>
      </c>
      <c r="D433" t="s">
        <v>13</v>
      </c>
      <c r="E433" s="3">
        <v>800</v>
      </c>
      <c r="F433" s="4">
        <v>43722</v>
      </c>
      <c r="G433" s="2" t="s">
        <v>10</v>
      </c>
      <c r="L433">
        <v>456</v>
      </c>
      <c r="M433" t="str">
        <v>PROYECTO</v>
      </c>
      <c r="N433" t="str">
        <v>CLIENTE-0004</v>
      </c>
      <c r="O433" t="str">
        <v>MADRID</v>
      </c>
      <c r="P433">
        <v>750</v>
      </c>
      <c r="Q433">
        <v>44275</v>
      </c>
      <c r="R433" t="str">
        <v>NO</v>
      </c>
    </row>
    <row r="434" spans="1:18" x14ac:dyDescent="0.25">
      <c r="A434" s="2">
        <v>433</v>
      </c>
      <c r="B434" t="s">
        <v>16</v>
      </c>
      <c r="C434" t="s">
        <v>15</v>
      </c>
      <c r="D434" t="s">
        <v>13</v>
      </c>
      <c r="E434" s="3">
        <v>750</v>
      </c>
      <c r="F434" s="4">
        <v>44340</v>
      </c>
      <c r="G434" s="2" t="s">
        <v>10</v>
      </c>
      <c r="L434">
        <v>459</v>
      </c>
      <c r="M434" t="str">
        <v>FORMACION</v>
      </c>
      <c r="N434" t="str">
        <v>CLIENTE-0006</v>
      </c>
      <c r="O434" t="str">
        <v>BARCELONA</v>
      </c>
      <c r="P434">
        <v>750</v>
      </c>
      <c r="Q434">
        <v>44388</v>
      </c>
      <c r="R434" t="str">
        <v>SI</v>
      </c>
    </row>
    <row r="435" spans="1:18" x14ac:dyDescent="0.25">
      <c r="A435" s="2">
        <v>434</v>
      </c>
      <c r="B435" t="s">
        <v>18</v>
      </c>
      <c r="C435" t="s">
        <v>17</v>
      </c>
      <c r="D435" t="s">
        <v>13</v>
      </c>
      <c r="E435" s="3">
        <v>4500</v>
      </c>
      <c r="F435" s="4">
        <v>43598</v>
      </c>
      <c r="G435" s="2" t="s">
        <v>10</v>
      </c>
      <c r="L435">
        <v>490</v>
      </c>
      <c r="M435" t="str">
        <v>PROYECTO</v>
      </c>
      <c r="N435" t="str">
        <v>CLIENTE-0010</v>
      </c>
      <c r="O435" t="str">
        <v>MADRID</v>
      </c>
      <c r="P435">
        <v>750</v>
      </c>
      <c r="Q435">
        <v>43491</v>
      </c>
      <c r="R435" t="str">
        <v>SI</v>
      </c>
    </row>
    <row r="436" spans="1:18" x14ac:dyDescent="0.25">
      <c r="A436" s="2">
        <v>435</v>
      </c>
      <c r="B436" t="s">
        <v>20</v>
      </c>
      <c r="C436" t="s">
        <v>19</v>
      </c>
      <c r="D436" t="s">
        <v>9</v>
      </c>
      <c r="E436" s="3">
        <v>500</v>
      </c>
      <c r="F436" s="4">
        <v>44526</v>
      </c>
      <c r="G436" s="2" t="s">
        <v>10</v>
      </c>
      <c r="L436">
        <v>493</v>
      </c>
      <c r="M436" t="str">
        <v>FORMACION</v>
      </c>
      <c r="N436" t="str">
        <v>CLIENTE-0003</v>
      </c>
      <c r="O436" t="str">
        <v>MADRID</v>
      </c>
      <c r="P436">
        <v>750</v>
      </c>
      <c r="Q436">
        <v>43669</v>
      </c>
      <c r="R436" t="str">
        <v>SI</v>
      </c>
    </row>
    <row r="437" spans="1:18" x14ac:dyDescent="0.25">
      <c r="A437" s="2">
        <v>436</v>
      </c>
      <c r="B437" t="s">
        <v>7</v>
      </c>
      <c r="C437" t="s">
        <v>8</v>
      </c>
      <c r="D437" t="s">
        <v>9</v>
      </c>
      <c r="E437" s="3">
        <v>750</v>
      </c>
      <c r="F437" s="4">
        <v>44538</v>
      </c>
      <c r="G437" s="2" t="s">
        <v>10</v>
      </c>
      <c r="L437">
        <v>502</v>
      </c>
      <c r="M437" t="str">
        <v>DESARROLLO</v>
      </c>
      <c r="N437" t="str">
        <v>CLIENTE-0005</v>
      </c>
      <c r="O437" t="str">
        <v>BARCELONA</v>
      </c>
      <c r="P437">
        <v>750</v>
      </c>
      <c r="Q437">
        <v>44550</v>
      </c>
      <c r="R437" t="str">
        <v>SI</v>
      </c>
    </row>
    <row r="438" spans="1:18" x14ac:dyDescent="0.25">
      <c r="A438" s="2">
        <v>437</v>
      </c>
      <c r="B438" t="s">
        <v>11</v>
      </c>
      <c r="C438" t="s">
        <v>12</v>
      </c>
      <c r="D438" t="s">
        <v>13</v>
      </c>
      <c r="E438" s="3">
        <v>950</v>
      </c>
      <c r="F438" s="4">
        <v>43635</v>
      </c>
      <c r="G438" s="2" t="s">
        <v>26</v>
      </c>
      <c r="L438">
        <v>505</v>
      </c>
      <c r="M438" t="str">
        <v>PROGRAMA</v>
      </c>
      <c r="N438" t="str">
        <v>CLIENTE-0007</v>
      </c>
      <c r="O438" t="str">
        <v>BARCELONA</v>
      </c>
      <c r="P438">
        <v>750</v>
      </c>
      <c r="Q438">
        <v>44174</v>
      </c>
      <c r="R438" t="str">
        <v>NO</v>
      </c>
    </row>
    <row r="439" spans="1:18" x14ac:dyDescent="0.25">
      <c r="A439" s="2">
        <v>438</v>
      </c>
      <c r="B439" t="s">
        <v>14</v>
      </c>
      <c r="C439" t="s">
        <v>12</v>
      </c>
      <c r="D439" t="s">
        <v>13</v>
      </c>
      <c r="E439" s="3">
        <v>680</v>
      </c>
      <c r="F439" s="4">
        <v>44287</v>
      </c>
      <c r="G439" s="2" t="s">
        <v>26</v>
      </c>
      <c r="L439">
        <v>525</v>
      </c>
      <c r="M439" t="str">
        <v>EQUIPOS</v>
      </c>
      <c r="N439" t="str">
        <v>CLIENTE-0003</v>
      </c>
      <c r="O439" t="str">
        <v>MADRID</v>
      </c>
      <c r="P439">
        <v>750</v>
      </c>
      <c r="Q439">
        <v>44058</v>
      </c>
      <c r="R439" t="str">
        <v>SI</v>
      </c>
    </row>
    <row r="440" spans="1:18" x14ac:dyDescent="0.25">
      <c r="A440" s="2">
        <v>439</v>
      </c>
      <c r="B440" t="s">
        <v>16</v>
      </c>
      <c r="C440" t="s">
        <v>15</v>
      </c>
      <c r="D440" t="s">
        <v>13</v>
      </c>
      <c r="E440" s="3">
        <v>950</v>
      </c>
      <c r="F440" s="4">
        <v>44543</v>
      </c>
      <c r="G440" s="2" t="s">
        <v>26</v>
      </c>
      <c r="L440">
        <v>528</v>
      </c>
      <c r="M440" t="str">
        <v>PROYECTO</v>
      </c>
      <c r="N440" t="str">
        <v>CLIENTE-0005</v>
      </c>
      <c r="O440" t="str">
        <v>BARCELONA</v>
      </c>
      <c r="P440">
        <v>750</v>
      </c>
      <c r="Q440">
        <v>44418</v>
      </c>
      <c r="R440" t="str">
        <v>SI</v>
      </c>
    </row>
    <row r="441" spans="1:18" x14ac:dyDescent="0.25">
      <c r="A441" s="2">
        <v>440</v>
      </c>
      <c r="B441" t="s">
        <v>11</v>
      </c>
      <c r="C441" t="s">
        <v>17</v>
      </c>
      <c r="D441" t="s">
        <v>13</v>
      </c>
      <c r="E441" s="3">
        <v>1500</v>
      </c>
      <c r="F441" s="4">
        <v>44081</v>
      </c>
      <c r="G441" s="2" t="s">
        <v>26</v>
      </c>
      <c r="L441">
        <v>559</v>
      </c>
      <c r="M441" t="str">
        <v>EQUIPOS</v>
      </c>
      <c r="N441" t="str">
        <v>CLIENTE-0004</v>
      </c>
      <c r="O441" t="str">
        <v>MADRID</v>
      </c>
      <c r="P441">
        <v>750</v>
      </c>
      <c r="Q441">
        <v>44403</v>
      </c>
      <c r="R441" t="str">
        <v>SI</v>
      </c>
    </row>
    <row r="442" spans="1:18" x14ac:dyDescent="0.25">
      <c r="A442" s="2">
        <v>441</v>
      </c>
      <c r="B442" t="s">
        <v>14</v>
      </c>
      <c r="C442" t="s">
        <v>21</v>
      </c>
      <c r="D442" t="s">
        <v>22</v>
      </c>
      <c r="E442" s="3">
        <v>5000</v>
      </c>
      <c r="F442" s="4">
        <v>43977</v>
      </c>
      <c r="G442" s="2" t="s">
        <v>26</v>
      </c>
      <c r="L442">
        <v>562</v>
      </c>
      <c r="M442" t="str">
        <v>PROYECTO</v>
      </c>
      <c r="N442" t="str">
        <v>CLIENTE-0007</v>
      </c>
      <c r="O442" t="str">
        <v>BARCELONA</v>
      </c>
      <c r="P442">
        <v>750</v>
      </c>
      <c r="Q442">
        <v>43701</v>
      </c>
      <c r="R442" t="str">
        <v>SI</v>
      </c>
    </row>
    <row r="443" spans="1:18" x14ac:dyDescent="0.25">
      <c r="A443" s="2">
        <v>442</v>
      </c>
      <c r="B443" t="s">
        <v>16</v>
      </c>
      <c r="C443" t="s">
        <v>23</v>
      </c>
      <c r="D443" t="s">
        <v>22</v>
      </c>
      <c r="E443" s="3">
        <v>6500</v>
      </c>
      <c r="F443" s="4">
        <v>43570</v>
      </c>
      <c r="G443" s="2" t="s">
        <v>26</v>
      </c>
      <c r="L443">
        <v>571</v>
      </c>
      <c r="M443" t="str">
        <v>FORMACION</v>
      </c>
      <c r="N443" t="str">
        <v>CLIENTE-0008</v>
      </c>
      <c r="O443" t="str">
        <v>ALICANTE</v>
      </c>
      <c r="P443">
        <v>750</v>
      </c>
      <c r="Q443">
        <v>43547</v>
      </c>
      <c r="R443" t="str">
        <v>SI</v>
      </c>
    </row>
    <row r="444" spans="1:18" x14ac:dyDescent="0.25">
      <c r="A444" s="2">
        <v>443</v>
      </c>
      <c r="B444" t="s">
        <v>18</v>
      </c>
      <c r="C444" t="s">
        <v>24</v>
      </c>
      <c r="D444" t="s">
        <v>9</v>
      </c>
      <c r="E444" s="3">
        <v>8500</v>
      </c>
      <c r="F444" s="4">
        <v>44278</v>
      </c>
      <c r="G444" s="2" t="s">
        <v>26</v>
      </c>
      <c r="L444">
        <v>574</v>
      </c>
      <c r="M444" t="str">
        <v>PROYECTO</v>
      </c>
      <c r="N444" t="str">
        <v>CLIENTE-0001</v>
      </c>
      <c r="O444" t="str">
        <v>MADRID</v>
      </c>
      <c r="P444">
        <v>750</v>
      </c>
      <c r="Q444">
        <v>43521</v>
      </c>
      <c r="R444" t="str">
        <v>NO</v>
      </c>
    </row>
    <row r="445" spans="1:18" x14ac:dyDescent="0.25">
      <c r="A445" s="2">
        <v>444</v>
      </c>
      <c r="B445" t="s">
        <v>20</v>
      </c>
      <c r="C445" t="s">
        <v>25</v>
      </c>
      <c r="D445" t="s">
        <v>9</v>
      </c>
      <c r="E445" s="3">
        <v>1200</v>
      </c>
      <c r="F445" s="4">
        <v>44195</v>
      </c>
      <c r="G445" s="2" t="s">
        <v>10</v>
      </c>
      <c r="L445">
        <v>594</v>
      </c>
      <c r="M445" t="str">
        <v>EQUIPOS</v>
      </c>
      <c r="N445" t="str">
        <v>CLIENTE-0001</v>
      </c>
      <c r="O445" t="str">
        <v>MADRID</v>
      </c>
      <c r="P445">
        <v>750</v>
      </c>
      <c r="Q445">
        <v>44502</v>
      </c>
      <c r="R445" t="str">
        <v>SI</v>
      </c>
    </row>
    <row r="446" spans="1:18" x14ac:dyDescent="0.25">
      <c r="A446" s="2">
        <v>445</v>
      </c>
      <c r="B446" t="s">
        <v>7</v>
      </c>
      <c r="C446" t="s">
        <v>24</v>
      </c>
      <c r="D446" t="s">
        <v>9</v>
      </c>
      <c r="E446" s="3">
        <v>300</v>
      </c>
      <c r="F446" s="4">
        <v>43644</v>
      </c>
      <c r="G446" s="2" t="s">
        <v>10</v>
      </c>
      <c r="L446">
        <v>597</v>
      </c>
      <c r="M446" t="str">
        <v>PROYECTO</v>
      </c>
      <c r="N446" t="str">
        <v>CLIENTE-0002</v>
      </c>
      <c r="O446" t="str">
        <v>ALICANTE</v>
      </c>
      <c r="P446">
        <v>750</v>
      </c>
      <c r="Q446">
        <v>43734</v>
      </c>
      <c r="R446" t="str">
        <v>SI</v>
      </c>
    </row>
    <row r="447" spans="1:18" x14ac:dyDescent="0.25">
      <c r="A447" s="2">
        <v>446</v>
      </c>
      <c r="B447" t="s">
        <v>11</v>
      </c>
      <c r="C447" t="s">
        <v>25</v>
      </c>
      <c r="D447" t="s">
        <v>9</v>
      </c>
      <c r="E447" s="3">
        <v>200</v>
      </c>
      <c r="F447" s="4">
        <v>44044</v>
      </c>
      <c r="G447" s="2" t="s">
        <v>10</v>
      </c>
      <c r="L447">
        <v>628</v>
      </c>
      <c r="M447" t="str">
        <v>PROYECTO</v>
      </c>
      <c r="N447" t="str">
        <v>CLIENTE-0008</v>
      </c>
      <c r="O447" t="str">
        <v>ALICANTE</v>
      </c>
      <c r="P447">
        <v>750</v>
      </c>
      <c r="Q447">
        <v>44060</v>
      </c>
      <c r="R447" t="str">
        <v>SI</v>
      </c>
    </row>
    <row r="448" spans="1:18" x14ac:dyDescent="0.25">
      <c r="A448" s="2">
        <v>447</v>
      </c>
      <c r="B448" t="s">
        <v>14</v>
      </c>
      <c r="C448" t="s">
        <v>27</v>
      </c>
      <c r="D448" t="s">
        <v>22</v>
      </c>
      <c r="E448" s="3">
        <v>150</v>
      </c>
      <c r="F448" s="4">
        <v>44086</v>
      </c>
      <c r="G448" s="2" t="s">
        <v>10</v>
      </c>
      <c r="L448">
        <v>631</v>
      </c>
      <c r="M448" t="str">
        <v>FORMACION</v>
      </c>
      <c r="N448" t="str">
        <v>CLIENTE-0004</v>
      </c>
      <c r="O448" t="str">
        <v>MADRID</v>
      </c>
      <c r="P448">
        <v>750</v>
      </c>
      <c r="Q448">
        <v>44451</v>
      </c>
      <c r="R448" t="str">
        <v>SI</v>
      </c>
    </row>
    <row r="449" spans="1:18" x14ac:dyDescent="0.25">
      <c r="A449" s="2">
        <v>448</v>
      </c>
      <c r="B449" t="s">
        <v>20</v>
      </c>
      <c r="C449" t="s">
        <v>19</v>
      </c>
      <c r="D449" t="s">
        <v>9</v>
      </c>
      <c r="E449" s="3">
        <v>120</v>
      </c>
      <c r="F449" s="4">
        <v>44378</v>
      </c>
      <c r="G449" s="2" t="s">
        <v>10</v>
      </c>
      <c r="L449">
        <v>638</v>
      </c>
      <c r="M449" t="str">
        <v>CONSULTORIA</v>
      </c>
      <c r="N449" t="str">
        <v>CLIENTE-0010</v>
      </c>
      <c r="O449" t="str">
        <v>MADRID</v>
      </c>
      <c r="P449">
        <v>750</v>
      </c>
      <c r="Q449">
        <v>44370</v>
      </c>
      <c r="R449" t="str">
        <v>SI</v>
      </c>
    </row>
    <row r="450" spans="1:18" x14ac:dyDescent="0.25">
      <c r="A450" s="2">
        <v>449</v>
      </c>
      <c r="B450" t="s">
        <v>7</v>
      </c>
      <c r="C450" t="s">
        <v>8</v>
      </c>
      <c r="D450" t="s">
        <v>9</v>
      </c>
      <c r="E450" s="3">
        <v>300</v>
      </c>
      <c r="F450" s="4">
        <v>44040</v>
      </c>
      <c r="G450" s="2" t="s">
        <v>10</v>
      </c>
      <c r="L450">
        <v>641</v>
      </c>
      <c r="M450" t="str">
        <v>EQUIPOS</v>
      </c>
      <c r="N450" t="str">
        <v>CLIENTE-0001</v>
      </c>
      <c r="O450" t="str">
        <v>MADRID</v>
      </c>
      <c r="P450">
        <v>750</v>
      </c>
      <c r="Q450">
        <v>44433</v>
      </c>
      <c r="R450" t="str">
        <v>SI</v>
      </c>
    </row>
    <row r="451" spans="1:18" x14ac:dyDescent="0.25">
      <c r="A451" s="2">
        <v>450</v>
      </c>
      <c r="B451" t="s">
        <v>11</v>
      </c>
      <c r="C451" t="s">
        <v>12</v>
      </c>
      <c r="D451" t="s">
        <v>13</v>
      </c>
      <c r="E451" s="3">
        <v>350</v>
      </c>
      <c r="F451" s="4">
        <v>44044</v>
      </c>
      <c r="G451" s="2" t="s">
        <v>10</v>
      </c>
      <c r="L451">
        <v>680</v>
      </c>
      <c r="M451" t="str">
        <v>EQUIPOS</v>
      </c>
      <c r="N451" t="str">
        <v>CLIENTE-0006</v>
      </c>
      <c r="O451" t="str">
        <v>BARCELONA</v>
      </c>
      <c r="P451">
        <v>750</v>
      </c>
      <c r="Q451">
        <v>43646</v>
      </c>
      <c r="R451" t="str">
        <v>SI</v>
      </c>
    </row>
    <row r="452" spans="1:18" x14ac:dyDescent="0.25">
      <c r="A452" s="2">
        <v>451</v>
      </c>
      <c r="B452" t="s">
        <v>14</v>
      </c>
      <c r="C452" t="s">
        <v>15</v>
      </c>
      <c r="D452" t="s">
        <v>13</v>
      </c>
      <c r="E452" s="3">
        <v>300</v>
      </c>
      <c r="F452" s="4">
        <v>44450</v>
      </c>
      <c r="G452" s="2" t="s">
        <v>26</v>
      </c>
      <c r="L452">
        <v>683</v>
      </c>
      <c r="M452" t="str">
        <v>CONSULTORIA</v>
      </c>
      <c r="N452" t="str">
        <v>CLIENTE-0004</v>
      </c>
      <c r="O452" t="str">
        <v>MADRID</v>
      </c>
      <c r="P452">
        <v>750</v>
      </c>
      <c r="Q452">
        <v>44470</v>
      </c>
      <c r="R452" t="str">
        <v>SI</v>
      </c>
    </row>
    <row r="453" spans="1:18" x14ac:dyDescent="0.25">
      <c r="A453" s="2">
        <v>452</v>
      </c>
      <c r="B453" t="s">
        <v>16</v>
      </c>
      <c r="C453" t="s">
        <v>17</v>
      </c>
      <c r="D453" t="s">
        <v>13</v>
      </c>
      <c r="E453" s="3">
        <v>120</v>
      </c>
      <c r="F453" s="4">
        <v>43965</v>
      </c>
      <c r="G453" s="2" t="s">
        <v>26</v>
      </c>
      <c r="L453">
        <v>714</v>
      </c>
      <c r="M453" t="str">
        <v>EQUIPOS</v>
      </c>
      <c r="N453" t="str">
        <v>CLIENTE-0002</v>
      </c>
      <c r="O453" t="str">
        <v>ALICANTE</v>
      </c>
      <c r="P453">
        <v>750</v>
      </c>
      <c r="Q453">
        <v>44500</v>
      </c>
      <c r="R453" t="str">
        <v>NO</v>
      </c>
    </row>
    <row r="454" spans="1:18" x14ac:dyDescent="0.25">
      <c r="A454" s="2">
        <v>453</v>
      </c>
      <c r="B454" t="s">
        <v>18</v>
      </c>
      <c r="C454" t="s">
        <v>21</v>
      </c>
      <c r="D454" t="s">
        <v>22</v>
      </c>
      <c r="E454" s="3">
        <v>150</v>
      </c>
      <c r="F454" s="4">
        <v>43865</v>
      </c>
      <c r="G454" s="2" t="s">
        <v>26</v>
      </c>
      <c r="L454">
        <v>717</v>
      </c>
      <c r="M454" t="str">
        <v>CONSULTORIA</v>
      </c>
      <c r="N454" t="str">
        <v>CLIENTE-0005</v>
      </c>
      <c r="O454" t="str">
        <v>BARCELONA</v>
      </c>
      <c r="P454">
        <v>750</v>
      </c>
      <c r="Q454">
        <v>44169</v>
      </c>
      <c r="R454" t="str">
        <v>NO</v>
      </c>
    </row>
    <row r="455" spans="1:18" x14ac:dyDescent="0.25">
      <c r="A455" s="2">
        <v>454</v>
      </c>
      <c r="B455" t="s">
        <v>20</v>
      </c>
      <c r="C455" t="s">
        <v>23</v>
      </c>
      <c r="D455" t="s">
        <v>22</v>
      </c>
      <c r="E455" s="3">
        <v>1200</v>
      </c>
      <c r="F455" s="4">
        <v>44421</v>
      </c>
      <c r="G455" s="2" t="s">
        <v>26</v>
      </c>
      <c r="L455">
        <v>726</v>
      </c>
      <c r="M455" t="str">
        <v>EQUIPOS</v>
      </c>
      <c r="N455" t="str">
        <v>CLIENTE-0002</v>
      </c>
      <c r="O455" t="str">
        <v>ALICANTE</v>
      </c>
      <c r="P455">
        <v>750</v>
      </c>
      <c r="Q455">
        <v>44520</v>
      </c>
      <c r="R455" t="str">
        <v>SI</v>
      </c>
    </row>
    <row r="456" spans="1:18" x14ac:dyDescent="0.25">
      <c r="A456" s="2">
        <v>455</v>
      </c>
      <c r="B456" t="s">
        <v>7</v>
      </c>
      <c r="C456" t="s">
        <v>24</v>
      </c>
      <c r="D456" t="s">
        <v>9</v>
      </c>
      <c r="E456" s="3">
        <v>800</v>
      </c>
      <c r="F456" s="4">
        <v>43605</v>
      </c>
      <c r="G456" s="2" t="s">
        <v>26</v>
      </c>
      <c r="L456">
        <v>729</v>
      </c>
      <c r="M456" t="str">
        <v>CONSULTORIA</v>
      </c>
      <c r="N456" t="str">
        <v>CLIENTE-0005</v>
      </c>
      <c r="O456" t="str">
        <v>BARCELONA</v>
      </c>
      <c r="P456">
        <v>750</v>
      </c>
      <c r="Q456">
        <v>43473</v>
      </c>
      <c r="R456" t="str">
        <v>SI</v>
      </c>
    </row>
    <row r="457" spans="1:18" x14ac:dyDescent="0.25">
      <c r="A457" s="2">
        <v>456</v>
      </c>
      <c r="B457" t="s">
        <v>11</v>
      </c>
      <c r="C457" t="s">
        <v>8</v>
      </c>
      <c r="D457" t="s">
        <v>9</v>
      </c>
      <c r="E457" s="3">
        <v>750</v>
      </c>
      <c r="F457" s="4">
        <v>44275</v>
      </c>
      <c r="G457" s="2" t="s">
        <v>26</v>
      </c>
      <c r="L457">
        <v>745</v>
      </c>
      <c r="M457" t="str">
        <v>EQUIPOS</v>
      </c>
      <c r="N457" t="str">
        <v>CLIENTE-0005</v>
      </c>
      <c r="O457" t="str">
        <v>BARCELONA</v>
      </c>
      <c r="P457">
        <v>750</v>
      </c>
      <c r="Q457">
        <v>43731</v>
      </c>
      <c r="R457" t="str">
        <v>NO</v>
      </c>
    </row>
    <row r="458" spans="1:18" x14ac:dyDescent="0.25">
      <c r="A458" s="2">
        <v>457</v>
      </c>
      <c r="B458" t="s">
        <v>14</v>
      </c>
      <c r="C458" t="s">
        <v>12</v>
      </c>
      <c r="D458" t="s">
        <v>13</v>
      </c>
      <c r="E458" s="3">
        <v>4500</v>
      </c>
      <c r="F458" s="4">
        <v>44298</v>
      </c>
      <c r="G458" s="2" t="s">
        <v>10</v>
      </c>
      <c r="L458">
        <v>748</v>
      </c>
      <c r="M458" t="str">
        <v>PROYECTO</v>
      </c>
      <c r="N458" t="str">
        <v>CLIENTE-0007</v>
      </c>
      <c r="O458" t="str">
        <v>BARCELONA</v>
      </c>
      <c r="P458">
        <v>750</v>
      </c>
      <c r="Q458">
        <v>44091</v>
      </c>
      <c r="R458" t="str">
        <v>SI</v>
      </c>
    </row>
    <row r="459" spans="1:18" x14ac:dyDescent="0.25">
      <c r="A459" s="2">
        <v>458</v>
      </c>
      <c r="B459" t="s">
        <v>16</v>
      </c>
      <c r="C459" t="s">
        <v>12</v>
      </c>
      <c r="D459" t="s">
        <v>13</v>
      </c>
      <c r="E459" s="3">
        <v>500</v>
      </c>
      <c r="F459" s="4">
        <v>43933</v>
      </c>
      <c r="G459" s="2" t="s">
        <v>10</v>
      </c>
      <c r="L459">
        <v>2</v>
      </c>
      <c r="M459" t="str">
        <v>PROYECTO</v>
      </c>
      <c r="N459" t="str">
        <v>CLIENTE-0005</v>
      </c>
      <c r="O459" t="str">
        <v>BARCELONA</v>
      </c>
      <c r="P459">
        <v>800</v>
      </c>
      <c r="Q459">
        <v>44349</v>
      </c>
      <c r="R459" t="str">
        <v>SI</v>
      </c>
    </row>
    <row r="460" spans="1:18" x14ac:dyDescent="0.25">
      <c r="A460" s="2">
        <v>459</v>
      </c>
      <c r="B460" t="s">
        <v>18</v>
      </c>
      <c r="C460" t="s">
        <v>15</v>
      </c>
      <c r="D460" t="s">
        <v>13</v>
      </c>
      <c r="E460" s="3">
        <v>750</v>
      </c>
      <c r="F460" s="4">
        <v>44388</v>
      </c>
      <c r="G460" s="2" t="s">
        <v>10</v>
      </c>
      <c r="L460">
        <v>25</v>
      </c>
      <c r="M460" t="str">
        <v>EQUIPOS</v>
      </c>
      <c r="N460" t="str">
        <v>CLIENTE-0010</v>
      </c>
      <c r="O460" t="str">
        <v>MADRID</v>
      </c>
      <c r="P460">
        <v>800</v>
      </c>
      <c r="Q460">
        <v>43552</v>
      </c>
      <c r="R460" t="str">
        <v>SI</v>
      </c>
    </row>
    <row r="461" spans="1:18" x14ac:dyDescent="0.25">
      <c r="A461" s="2">
        <v>460</v>
      </c>
      <c r="B461" t="s">
        <v>20</v>
      </c>
      <c r="C461" t="s">
        <v>17</v>
      </c>
      <c r="D461" t="s">
        <v>13</v>
      </c>
      <c r="E461" s="3">
        <v>950</v>
      </c>
      <c r="F461" s="4">
        <v>43691</v>
      </c>
      <c r="G461" s="2" t="s">
        <v>10</v>
      </c>
      <c r="L461">
        <v>59</v>
      </c>
      <c r="M461" t="str">
        <v>CONSULTORIA</v>
      </c>
      <c r="N461" t="str">
        <v>CLIENTE-0001</v>
      </c>
      <c r="O461" t="str">
        <v>MADRID</v>
      </c>
      <c r="P461">
        <v>800</v>
      </c>
      <c r="Q461">
        <v>44056</v>
      </c>
      <c r="R461" t="str">
        <v>NO</v>
      </c>
    </row>
    <row r="462" spans="1:18" x14ac:dyDescent="0.25">
      <c r="A462" s="2">
        <v>461</v>
      </c>
      <c r="B462" t="s">
        <v>7</v>
      </c>
      <c r="C462" t="s">
        <v>21</v>
      </c>
      <c r="D462" t="s">
        <v>22</v>
      </c>
      <c r="E462" s="3">
        <v>680</v>
      </c>
      <c r="F462" s="4">
        <v>44448</v>
      </c>
      <c r="G462" s="2" t="s">
        <v>10</v>
      </c>
      <c r="L462">
        <v>71</v>
      </c>
      <c r="M462" t="str">
        <v>PROYECTO</v>
      </c>
      <c r="N462" t="str">
        <v>CLIENTE-0004</v>
      </c>
      <c r="O462" t="str">
        <v>MADRID</v>
      </c>
      <c r="P462">
        <v>800</v>
      </c>
      <c r="Q462">
        <v>44280</v>
      </c>
      <c r="R462" t="str">
        <v>SI</v>
      </c>
    </row>
    <row r="463" spans="1:18" x14ac:dyDescent="0.25">
      <c r="A463" s="2">
        <v>462</v>
      </c>
      <c r="B463" t="s">
        <v>11</v>
      </c>
      <c r="C463" t="s">
        <v>23</v>
      </c>
      <c r="D463" t="s">
        <v>22</v>
      </c>
      <c r="E463" s="3">
        <v>950</v>
      </c>
      <c r="F463" s="4">
        <v>43581</v>
      </c>
      <c r="G463" s="2" t="s">
        <v>10</v>
      </c>
      <c r="L463">
        <v>94</v>
      </c>
      <c r="M463" t="str">
        <v>CONSULTORIA</v>
      </c>
      <c r="N463" t="str">
        <v>CLIENTE-0007</v>
      </c>
      <c r="O463" t="str">
        <v>BARCELONA</v>
      </c>
      <c r="P463">
        <v>800</v>
      </c>
      <c r="Q463">
        <v>44031</v>
      </c>
      <c r="R463" t="str">
        <v>SI</v>
      </c>
    </row>
    <row r="464" spans="1:18" x14ac:dyDescent="0.25">
      <c r="A464" s="2">
        <v>463</v>
      </c>
      <c r="B464" t="s">
        <v>14</v>
      </c>
      <c r="C464" t="s">
        <v>24</v>
      </c>
      <c r="D464" t="s">
        <v>9</v>
      </c>
      <c r="E464" s="3">
        <v>1500</v>
      </c>
      <c r="F464" s="4">
        <v>44159</v>
      </c>
      <c r="G464" s="2" t="s">
        <v>10</v>
      </c>
      <c r="L464">
        <v>128</v>
      </c>
      <c r="M464" t="str">
        <v>FORMACION</v>
      </c>
      <c r="N464" t="str">
        <v>CLIENTE-0003</v>
      </c>
      <c r="O464" t="str">
        <v>MADRID</v>
      </c>
      <c r="P464">
        <v>800</v>
      </c>
      <c r="Q464">
        <v>44379</v>
      </c>
      <c r="R464" t="str">
        <v>SI</v>
      </c>
    </row>
    <row r="465" spans="1:18" x14ac:dyDescent="0.25">
      <c r="A465" s="2">
        <v>464</v>
      </c>
      <c r="B465" t="s">
        <v>16</v>
      </c>
      <c r="C465" t="s">
        <v>25</v>
      </c>
      <c r="D465" t="s">
        <v>9</v>
      </c>
      <c r="E465" s="3">
        <v>5000</v>
      </c>
      <c r="F465" s="4">
        <v>43913</v>
      </c>
      <c r="G465" s="2" t="s">
        <v>10</v>
      </c>
      <c r="L465">
        <v>140</v>
      </c>
      <c r="M465" t="str">
        <v>FORMACION</v>
      </c>
      <c r="N465" t="str">
        <v>CLIENTE-0003</v>
      </c>
      <c r="O465" t="str">
        <v>MADRID</v>
      </c>
      <c r="P465">
        <v>800</v>
      </c>
      <c r="Q465">
        <v>44199</v>
      </c>
      <c r="R465" t="str">
        <v>NO</v>
      </c>
    </row>
    <row r="466" spans="1:18" x14ac:dyDescent="0.25">
      <c r="A466" s="2">
        <v>465</v>
      </c>
      <c r="B466" t="s">
        <v>18</v>
      </c>
      <c r="C466" t="s">
        <v>24</v>
      </c>
      <c r="D466" t="s">
        <v>9</v>
      </c>
      <c r="E466" s="3">
        <v>6500</v>
      </c>
      <c r="F466" s="4">
        <v>44275</v>
      </c>
      <c r="G466" s="2" t="s">
        <v>10</v>
      </c>
      <c r="L466">
        <v>163</v>
      </c>
      <c r="M466" t="str">
        <v>CONSULTORIA</v>
      </c>
      <c r="N466" t="str">
        <v>CLIENTE-0005</v>
      </c>
      <c r="O466" t="str">
        <v>BARCELONA</v>
      </c>
      <c r="P466">
        <v>800</v>
      </c>
      <c r="Q466">
        <v>44076</v>
      </c>
      <c r="R466" t="str">
        <v>SI</v>
      </c>
    </row>
    <row r="467" spans="1:18" x14ac:dyDescent="0.25">
      <c r="A467" s="2">
        <v>466</v>
      </c>
      <c r="B467" t="s">
        <v>20</v>
      </c>
      <c r="C467" t="s">
        <v>25</v>
      </c>
      <c r="D467" t="s">
        <v>9</v>
      </c>
      <c r="E467" s="3">
        <v>8500</v>
      </c>
      <c r="F467" s="4">
        <v>43898</v>
      </c>
      <c r="G467" s="2" t="s">
        <v>10</v>
      </c>
      <c r="L467">
        <v>197</v>
      </c>
      <c r="M467" t="str">
        <v>FORMACION</v>
      </c>
      <c r="N467" t="str">
        <v>CLIENTE-0007</v>
      </c>
      <c r="O467" t="str">
        <v>BARCELONA</v>
      </c>
      <c r="P467">
        <v>800</v>
      </c>
      <c r="Q467">
        <v>43963</v>
      </c>
      <c r="R467" t="str">
        <v>SI</v>
      </c>
    </row>
    <row r="468" spans="1:18" x14ac:dyDescent="0.25">
      <c r="A468" s="2">
        <v>467</v>
      </c>
      <c r="B468" t="s">
        <v>7</v>
      </c>
      <c r="C468" t="s">
        <v>27</v>
      </c>
      <c r="D468" t="s">
        <v>22</v>
      </c>
      <c r="E468" s="3">
        <v>1200</v>
      </c>
      <c r="F468" s="4">
        <v>43964</v>
      </c>
      <c r="G468" s="2" t="s">
        <v>10</v>
      </c>
      <c r="L468">
        <v>209</v>
      </c>
      <c r="M468" t="str">
        <v>PROYECTO</v>
      </c>
      <c r="N468" t="str">
        <v>CLIENTE-0001</v>
      </c>
      <c r="O468" t="str">
        <v>MADRID</v>
      </c>
      <c r="P468">
        <v>800</v>
      </c>
      <c r="Q468">
        <v>43962</v>
      </c>
      <c r="R468" t="str">
        <v>NO</v>
      </c>
    </row>
    <row r="469" spans="1:18" x14ac:dyDescent="0.25">
      <c r="A469" s="2">
        <v>468</v>
      </c>
      <c r="B469" t="s">
        <v>11</v>
      </c>
      <c r="C469" t="s">
        <v>19</v>
      </c>
      <c r="D469" t="s">
        <v>9</v>
      </c>
      <c r="E469" s="3">
        <v>300</v>
      </c>
      <c r="F469" s="4">
        <v>43675</v>
      </c>
      <c r="G469" s="2" t="s">
        <v>10</v>
      </c>
      <c r="L469">
        <v>232</v>
      </c>
      <c r="M469" t="str">
        <v>EQUIPOS</v>
      </c>
      <c r="N469" t="str">
        <v>CLIENTE-0009</v>
      </c>
      <c r="O469" t="str">
        <v>ALICANTE</v>
      </c>
      <c r="P469">
        <v>800</v>
      </c>
      <c r="Q469">
        <v>44052</v>
      </c>
      <c r="R469" t="str">
        <v>SI</v>
      </c>
    </row>
    <row r="470" spans="1:18" x14ac:dyDescent="0.25">
      <c r="A470" s="2">
        <v>469</v>
      </c>
      <c r="B470" t="s">
        <v>14</v>
      </c>
      <c r="C470" t="s">
        <v>8</v>
      </c>
      <c r="D470" t="s">
        <v>9</v>
      </c>
      <c r="E470" s="3">
        <v>200</v>
      </c>
      <c r="F470" s="4">
        <v>43824</v>
      </c>
      <c r="G470" s="2" t="s">
        <v>10</v>
      </c>
      <c r="L470">
        <v>266</v>
      </c>
      <c r="M470" t="str">
        <v>PROYECTO</v>
      </c>
      <c r="N470" t="str">
        <v>CLIENTE-0004</v>
      </c>
      <c r="O470" t="str">
        <v>MADRID</v>
      </c>
      <c r="P470">
        <v>800</v>
      </c>
      <c r="Q470">
        <v>43608</v>
      </c>
      <c r="R470" t="str">
        <v>SI</v>
      </c>
    </row>
    <row r="471" spans="1:18" x14ac:dyDescent="0.25">
      <c r="A471" s="2">
        <v>470</v>
      </c>
      <c r="B471" t="s">
        <v>16</v>
      </c>
      <c r="C471" t="s">
        <v>12</v>
      </c>
      <c r="D471" t="s">
        <v>13</v>
      </c>
      <c r="E471" s="3">
        <v>150</v>
      </c>
      <c r="F471" s="4">
        <v>43956</v>
      </c>
      <c r="G471" s="2" t="s">
        <v>10</v>
      </c>
      <c r="L471">
        <v>309</v>
      </c>
      <c r="M471" t="str">
        <v>PROGRAMA</v>
      </c>
      <c r="N471" t="str">
        <v>CLIENTE-0010</v>
      </c>
      <c r="O471" t="str">
        <v>MADRID</v>
      </c>
      <c r="P471">
        <v>800</v>
      </c>
      <c r="Q471">
        <v>43491</v>
      </c>
      <c r="R471" t="str">
        <v>NO</v>
      </c>
    </row>
    <row r="472" spans="1:18" x14ac:dyDescent="0.25">
      <c r="A472" s="2">
        <v>471</v>
      </c>
      <c r="B472" t="s">
        <v>18</v>
      </c>
      <c r="C472" t="s">
        <v>15</v>
      </c>
      <c r="D472" t="s">
        <v>13</v>
      </c>
      <c r="E472" s="3">
        <v>120</v>
      </c>
      <c r="F472" s="4">
        <v>43572</v>
      </c>
      <c r="G472" s="2" t="s">
        <v>10</v>
      </c>
      <c r="L472">
        <v>321</v>
      </c>
      <c r="M472" t="str">
        <v>PROGRAMA</v>
      </c>
      <c r="N472" t="str">
        <v>CLIENTE-0005</v>
      </c>
      <c r="O472" t="str">
        <v>BARCELONA</v>
      </c>
      <c r="P472">
        <v>800</v>
      </c>
      <c r="Q472">
        <v>44440</v>
      </c>
      <c r="R472" t="str">
        <v>NO</v>
      </c>
    </row>
    <row r="473" spans="1:18" x14ac:dyDescent="0.25">
      <c r="A473" s="2">
        <v>472</v>
      </c>
      <c r="B473" t="s">
        <v>20</v>
      </c>
      <c r="C473" t="s">
        <v>17</v>
      </c>
      <c r="D473" t="s">
        <v>13</v>
      </c>
      <c r="E473" s="3">
        <v>300</v>
      </c>
      <c r="F473" s="4">
        <v>43543</v>
      </c>
      <c r="G473" s="2" t="s">
        <v>10</v>
      </c>
      <c r="L473">
        <v>344</v>
      </c>
      <c r="M473" t="str">
        <v>FORMACION</v>
      </c>
      <c r="N473" t="str">
        <v>CLIENTE-0003</v>
      </c>
      <c r="O473" t="str">
        <v>MADRID</v>
      </c>
      <c r="P473">
        <v>800</v>
      </c>
      <c r="Q473">
        <v>43485</v>
      </c>
      <c r="R473" t="str">
        <v>SI</v>
      </c>
    </row>
    <row r="474" spans="1:18" x14ac:dyDescent="0.25">
      <c r="A474" s="2">
        <v>473</v>
      </c>
      <c r="B474" t="s">
        <v>7</v>
      </c>
      <c r="C474" t="s">
        <v>21</v>
      </c>
      <c r="D474" t="s">
        <v>22</v>
      </c>
      <c r="E474" s="3">
        <v>350</v>
      </c>
      <c r="F474" s="4">
        <v>44424</v>
      </c>
      <c r="G474" s="2" t="s">
        <v>10</v>
      </c>
      <c r="L474">
        <v>386</v>
      </c>
      <c r="M474" t="str">
        <v>PROYECTO</v>
      </c>
      <c r="N474" t="str">
        <v>CLIENTE-0004</v>
      </c>
      <c r="O474" t="str">
        <v>MADRID</v>
      </c>
      <c r="P474">
        <v>800</v>
      </c>
      <c r="Q474">
        <v>43511</v>
      </c>
      <c r="R474" t="str">
        <v>SI</v>
      </c>
    </row>
    <row r="475" spans="1:18" x14ac:dyDescent="0.25">
      <c r="A475" s="2">
        <v>474</v>
      </c>
      <c r="B475" t="s">
        <v>11</v>
      </c>
      <c r="C475" t="s">
        <v>23</v>
      </c>
      <c r="D475" t="s">
        <v>22</v>
      </c>
      <c r="E475" s="3">
        <v>300</v>
      </c>
      <c r="F475" s="4">
        <v>44408</v>
      </c>
      <c r="G475" s="2" t="s">
        <v>10</v>
      </c>
      <c r="L475">
        <v>420</v>
      </c>
      <c r="M475" t="str">
        <v>DESARROLLO</v>
      </c>
      <c r="N475" t="str">
        <v>CLIENTE-0010</v>
      </c>
      <c r="O475" t="str">
        <v>MADRID</v>
      </c>
      <c r="P475">
        <v>800</v>
      </c>
      <c r="Q475">
        <v>44534</v>
      </c>
      <c r="R475" t="str">
        <v>SI</v>
      </c>
    </row>
    <row r="476" spans="1:18" x14ac:dyDescent="0.25">
      <c r="A476" s="2">
        <v>475</v>
      </c>
      <c r="B476" t="s">
        <v>14</v>
      </c>
      <c r="C476" t="s">
        <v>24</v>
      </c>
      <c r="D476" t="s">
        <v>9</v>
      </c>
      <c r="E476" s="3">
        <v>120</v>
      </c>
      <c r="F476" s="4">
        <v>43612</v>
      </c>
      <c r="G476" s="2" t="s">
        <v>10</v>
      </c>
      <c r="L476">
        <v>432</v>
      </c>
      <c r="M476" t="str">
        <v>EQUIPOS</v>
      </c>
      <c r="N476" t="str">
        <v>CLIENTE-0005</v>
      </c>
      <c r="O476" t="str">
        <v>BARCELONA</v>
      </c>
      <c r="P476">
        <v>800</v>
      </c>
      <c r="Q476">
        <v>43722</v>
      </c>
      <c r="R476" t="str">
        <v>SI</v>
      </c>
    </row>
    <row r="477" spans="1:18" x14ac:dyDescent="0.25">
      <c r="A477" s="2">
        <v>476</v>
      </c>
      <c r="B477" t="s">
        <v>16</v>
      </c>
      <c r="C477" t="s">
        <v>8</v>
      </c>
      <c r="D477" t="s">
        <v>9</v>
      </c>
      <c r="E477" s="3">
        <v>150</v>
      </c>
      <c r="F477" s="4">
        <v>43691</v>
      </c>
      <c r="G477" s="2" t="s">
        <v>10</v>
      </c>
      <c r="L477">
        <v>455</v>
      </c>
      <c r="M477" t="str">
        <v>DESARROLLO</v>
      </c>
      <c r="N477" t="str">
        <v>CLIENTE-0010</v>
      </c>
      <c r="O477" t="str">
        <v>MADRID</v>
      </c>
      <c r="P477">
        <v>800</v>
      </c>
      <c r="Q477">
        <v>43605</v>
      </c>
      <c r="R477" t="str">
        <v>NO</v>
      </c>
    </row>
    <row r="478" spans="1:18" x14ac:dyDescent="0.25">
      <c r="A478" s="2">
        <v>477</v>
      </c>
      <c r="B478" t="s">
        <v>18</v>
      </c>
      <c r="C478" t="s">
        <v>12</v>
      </c>
      <c r="D478" t="s">
        <v>13</v>
      </c>
      <c r="E478" s="3">
        <v>8500</v>
      </c>
      <c r="F478" s="4">
        <v>43641</v>
      </c>
      <c r="G478" s="2" t="s">
        <v>10</v>
      </c>
      <c r="L478">
        <v>489</v>
      </c>
      <c r="M478" t="str">
        <v>DESARROLLO</v>
      </c>
      <c r="N478" t="str">
        <v>CLIENTE-0001</v>
      </c>
      <c r="O478" t="str">
        <v>MADRID</v>
      </c>
      <c r="P478">
        <v>800</v>
      </c>
      <c r="Q478">
        <v>43669</v>
      </c>
      <c r="R478" t="str">
        <v>SI</v>
      </c>
    </row>
    <row r="479" spans="1:18" x14ac:dyDescent="0.25">
      <c r="A479" s="2">
        <v>478</v>
      </c>
      <c r="B479" t="s">
        <v>20</v>
      </c>
      <c r="C479" t="s">
        <v>15</v>
      </c>
      <c r="D479" t="s">
        <v>13</v>
      </c>
      <c r="E479" s="3">
        <v>1200</v>
      </c>
      <c r="F479" s="4">
        <v>44131</v>
      </c>
      <c r="G479" s="2" t="s">
        <v>26</v>
      </c>
      <c r="L479">
        <v>501</v>
      </c>
      <c r="M479" t="str">
        <v>DESARROLLO</v>
      </c>
      <c r="N479" t="str">
        <v>CLIENTE-0004</v>
      </c>
      <c r="O479" t="str">
        <v>MADRID</v>
      </c>
      <c r="P479">
        <v>800</v>
      </c>
      <c r="Q479">
        <v>43717</v>
      </c>
      <c r="R479" t="str">
        <v>SI</v>
      </c>
    </row>
    <row r="480" spans="1:18" x14ac:dyDescent="0.25">
      <c r="A480" s="2">
        <v>479</v>
      </c>
      <c r="B480" t="s">
        <v>7</v>
      </c>
      <c r="C480" t="s">
        <v>17</v>
      </c>
      <c r="D480" t="s">
        <v>13</v>
      </c>
      <c r="E480" s="3">
        <v>300</v>
      </c>
      <c r="F480" s="4">
        <v>44036</v>
      </c>
      <c r="G480" s="2" t="s">
        <v>26</v>
      </c>
      <c r="L480">
        <v>524</v>
      </c>
      <c r="M480" t="str">
        <v>PROYECTO</v>
      </c>
      <c r="N480" t="str">
        <v>CLIENTE-0007</v>
      </c>
      <c r="O480" t="str">
        <v>BARCELONA</v>
      </c>
      <c r="P480">
        <v>800</v>
      </c>
      <c r="Q480">
        <v>43918</v>
      </c>
      <c r="R480" t="str">
        <v>SI</v>
      </c>
    </row>
    <row r="481" spans="1:18" x14ac:dyDescent="0.25">
      <c r="A481" s="2">
        <v>480</v>
      </c>
      <c r="B481" t="s">
        <v>11</v>
      </c>
      <c r="C481" t="s">
        <v>19</v>
      </c>
      <c r="D481" t="s">
        <v>9</v>
      </c>
      <c r="E481" s="3">
        <v>200</v>
      </c>
      <c r="F481" s="4">
        <v>43931</v>
      </c>
      <c r="G481" s="2" t="s">
        <v>26</v>
      </c>
      <c r="L481">
        <v>558</v>
      </c>
      <c r="M481" t="str">
        <v>PROYECTO</v>
      </c>
      <c r="N481" t="str">
        <v>CLIENTE-0003</v>
      </c>
      <c r="O481" t="str">
        <v>MADRID</v>
      </c>
      <c r="P481">
        <v>800</v>
      </c>
      <c r="Q481">
        <v>43854</v>
      </c>
      <c r="R481" t="str">
        <v>SI</v>
      </c>
    </row>
    <row r="482" spans="1:18" x14ac:dyDescent="0.25">
      <c r="A482" s="2">
        <v>481</v>
      </c>
      <c r="B482" t="s">
        <v>14</v>
      </c>
      <c r="C482" t="s">
        <v>8</v>
      </c>
      <c r="D482" t="s">
        <v>9</v>
      </c>
      <c r="E482" s="3">
        <v>150</v>
      </c>
      <c r="F482" s="4">
        <v>44012</v>
      </c>
      <c r="G482" s="2" t="s">
        <v>26</v>
      </c>
      <c r="L482">
        <v>570</v>
      </c>
      <c r="M482" t="str">
        <v>PROGRAMA</v>
      </c>
      <c r="N482" t="str">
        <v>CLIENTE-0007</v>
      </c>
      <c r="O482" t="str">
        <v>BARCELONA</v>
      </c>
      <c r="P482">
        <v>800</v>
      </c>
      <c r="Q482">
        <v>43849</v>
      </c>
      <c r="R482" t="str">
        <v>SI</v>
      </c>
    </row>
    <row r="483" spans="1:18" x14ac:dyDescent="0.25">
      <c r="A483" s="2">
        <v>482</v>
      </c>
      <c r="B483" t="s">
        <v>20</v>
      </c>
      <c r="C483" t="s">
        <v>12</v>
      </c>
      <c r="D483" t="s">
        <v>13</v>
      </c>
      <c r="E483" s="3">
        <v>120</v>
      </c>
      <c r="F483" s="4">
        <v>43654</v>
      </c>
      <c r="G483" s="2" t="s">
        <v>26</v>
      </c>
      <c r="L483">
        <v>593</v>
      </c>
      <c r="M483" t="str">
        <v>PROYECTO</v>
      </c>
      <c r="N483" t="str">
        <v>CLIENTE-0010</v>
      </c>
      <c r="O483" t="str">
        <v>MADRID</v>
      </c>
      <c r="P483">
        <v>800</v>
      </c>
      <c r="Q483">
        <v>43923</v>
      </c>
      <c r="R483" t="str">
        <v>SI</v>
      </c>
    </row>
    <row r="484" spans="1:18" x14ac:dyDescent="0.25">
      <c r="A484" s="2">
        <v>483</v>
      </c>
      <c r="B484" t="s">
        <v>7</v>
      </c>
      <c r="C484" t="s">
        <v>12</v>
      </c>
      <c r="D484" t="s">
        <v>13</v>
      </c>
      <c r="E484" s="3">
        <v>300</v>
      </c>
      <c r="F484" s="4">
        <v>43599</v>
      </c>
      <c r="G484" s="2" t="s">
        <v>26</v>
      </c>
      <c r="L484">
        <v>627</v>
      </c>
      <c r="M484" t="str">
        <v>DESARROLLO</v>
      </c>
      <c r="N484" t="str">
        <v>CLIENTE-0007</v>
      </c>
      <c r="O484" t="str">
        <v>BARCELONA</v>
      </c>
      <c r="P484">
        <v>800</v>
      </c>
      <c r="Q484">
        <v>43473</v>
      </c>
      <c r="R484" t="str">
        <v>SI</v>
      </c>
    </row>
    <row r="485" spans="1:18" x14ac:dyDescent="0.25">
      <c r="A485" s="2">
        <v>484</v>
      </c>
      <c r="B485" t="s">
        <v>11</v>
      </c>
      <c r="C485" t="s">
        <v>15</v>
      </c>
      <c r="D485" t="s">
        <v>13</v>
      </c>
      <c r="E485" s="3">
        <v>350</v>
      </c>
      <c r="F485" s="4">
        <v>44173</v>
      </c>
      <c r="G485" s="2" t="s">
        <v>26</v>
      </c>
      <c r="L485">
        <v>637</v>
      </c>
      <c r="M485" t="str">
        <v>FORMACION</v>
      </c>
      <c r="N485" t="str">
        <v>CLIENTE-0009</v>
      </c>
      <c r="O485" t="str">
        <v>ALICANTE</v>
      </c>
      <c r="P485">
        <v>800</v>
      </c>
      <c r="Q485">
        <v>44146</v>
      </c>
      <c r="R485" t="str">
        <v>SI</v>
      </c>
    </row>
    <row r="486" spans="1:18" x14ac:dyDescent="0.25">
      <c r="A486" s="2">
        <v>485</v>
      </c>
      <c r="B486" t="s">
        <v>14</v>
      </c>
      <c r="C486" t="s">
        <v>17</v>
      </c>
      <c r="D486" t="s">
        <v>13</v>
      </c>
      <c r="E486" s="3">
        <v>300</v>
      </c>
      <c r="F486" s="4">
        <v>43510</v>
      </c>
      <c r="G486" s="2" t="s">
        <v>10</v>
      </c>
      <c r="L486">
        <v>679</v>
      </c>
      <c r="M486" t="str">
        <v>PROYECTO</v>
      </c>
      <c r="N486" t="str">
        <v>CLIENTE-0005</v>
      </c>
      <c r="O486" t="str">
        <v>BARCELONA</v>
      </c>
      <c r="P486">
        <v>800</v>
      </c>
      <c r="Q486">
        <v>44067</v>
      </c>
      <c r="R486" t="str">
        <v>SI</v>
      </c>
    </row>
    <row r="487" spans="1:18" x14ac:dyDescent="0.25">
      <c r="A487" s="2">
        <v>486</v>
      </c>
      <c r="B487" t="s">
        <v>16</v>
      </c>
      <c r="C487" t="s">
        <v>21</v>
      </c>
      <c r="D487" t="s">
        <v>22</v>
      </c>
      <c r="E487" s="3">
        <v>120</v>
      </c>
      <c r="F487" s="4">
        <v>44483</v>
      </c>
      <c r="G487" s="2" t="s">
        <v>10</v>
      </c>
      <c r="L487">
        <v>713</v>
      </c>
      <c r="M487" t="str">
        <v>PROYECTO</v>
      </c>
      <c r="N487" t="str">
        <v>CLIENTE-0001</v>
      </c>
      <c r="O487" t="str">
        <v>MADRID</v>
      </c>
      <c r="P487">
        <v>800</v>
      </c>
      <c r="Q487">
        <v>44400</v>
      </c>
      <c r="R487" t="str">
        <v>NO</v>
      </c>
    </row>
    <row r="488" spans="1:18" x14ac:dyDescent="0.25">
      <c r="A488" s="2">
        <v>487</v>
      </c>
      <c r="B488" t="s">
        <v>18</v>
      </c>
      <c r="C488" t="s">
        <v>23</v>
      </c>
      <c r="D488" t="s">
        <v>22</v>
      </c>
      <c r="E488" s="3">
        <v>150</v>
      </c>
      <c r="F488" s="4">
        <v>43785</v>
      </c>
      <c r="G488" s="2" t="s">
        <v>10</v>
      </c>
      <c r="L488">
        <v>725</v>
      </c>
      <c r="M488" t="str">
        <v>PROYECTO</v>
      </c>
      <c r="N488" t="str">
        <v>CLIENTE-0001</v>
      </c>
      <c r="O488" t="str">
        <v>MADRID</v>
      </c>
      <c r="P488">
        <v>800</v>
      </c>
      <c r="Q488">
        <v>43618</v>
      </c>
      <c r="R488" t="str">
        <v>SI</v>
      </c>
    </row>
    <row r="489" spans="1:18" x14ac:dyDescent="0.25">
      <c r="A489" s="2">
        <v>488</v>
      </c>
      <c r="B489" t="s">
        <v>20</v>
      </c>
      <c r="C489" t="s">
        <v>24</v>
      </c>
      <c r="D489" t="s">
        <v>9</v>
      </c>
      <c r="E489" s="3">
        <v>1200</v>
      </c>
      <c r="F489" s="4">
        <v>44345</v>
      </c>
      <c r="G489" s="2" t="s">
        <v>10</v>
      </c>
      <c r="L489">
        <v>744</v>
      </c>
      <c r="M489" t="str">
        <v>PROYECTO</v>
      </c>
      <c r="N489" t="str">
        <v>CLIENTE-0004</v>
      </c>
      <c r="O489" t="str">
        <v>MADRID</v>
      </c>
      <c r="P489">
        <v>800</v>
      </c>
      <c r="Q489">
        <v>43725</v>
      </c>
      <c r="R489" t="str">
        <v>NO</v>
      </c>
    </row>
    <row r="490" spans="1:18" x14ac:dyDescent="0.25">
      <c r="A490" s="2">
        <v>489</v>
      </c>
      <c r="B490" t="s">
        <v>7</v>
      </c>
      <c r="C490" t="s">
        <v>25</v>
      </c>
      <c r="D490" t="s">
        <v>9</v>
      </c>
      <c r="E490" s="3">
        <v>800</v>
      </c>
      <c r="F490" s="4">
        <v>43669</v>
      </c>
      <c r="G490" s="2" t="s">
        <v>10</v>
      </c>
      <c r="L490">
        <v>778</v>
      </c>
      <c r="M490" t="str">
        <v>DESARROLLO</v>
      </c>
      <c r="N490" t="str">
        <v>CLIENTE-0005</v>
      </c>
      <c r="O490" t="str">
        <v>BARCELONA</v>
      </c>
      <c r="P490">
        <v>800</v>
      </c>
      <c r="Q490">
        <v>44266</v>
      </c>
      <c r="R490" t="str">
        <v>SI</v>
      </c>
    </row>
    <row r="491" spans="1:18" x14ac:dyDescent="0.25">
      <c r="A491" s="2">
        <v>490</v>
      </c>
      <c r="B491" t="s">
        <v>11</v>
      </c>
      <c r="C491" t="s">
        <v>24</v>
      </c>
      <c r="D491" t="s">
        <v>9</v>
      </c>
      <c r="E491" s="3">
        <v>750</v>
      </c>
      <c r="F491" s="4">
        <v>43491</v>
      </c>
      <c r="G491" s="2" t="s">
        <v>10</v>
      </c>
      <c r="L491">
        <v>7</v>
      </c>
      <c r="M491" t="str">
        <v>DESARROLLO</v>
      </c>
      <c r="N491" t="str">
        <v>CLIENTE-0005</v>
      </c>
      <c r="O491" t="str">
        <v>BARCELONA</v>
      </c>
      <c r="P491">
        <v>950</v>
      </c>
      <c r="Q491">
        <v>43544</v>
      </c>
      <c r="R491" t="str">
        <v>SI</v>
      </c>
    </row>
    <row r="492" spans="1:18" x14ac:dyDescent="0.25">
      <c r="A492" s="2">
        <v>491</v>
      </c>
      <c r="B492" t="s">
        <v>14</v>
      </c>
      <c r="C492" t="s">
        <v>25</v>
      </c>
      <c r="D492" t="s">
        <v>9</v>
      </c>
      <c r="E492" s="3">
        <v>4500</v>
      </c>
      <c r="F492" s="4">
        <v>43756</v>
      </c>
      <c r="G492" s="2" t="s">
        <v>10</v>
      </c>
      <c r="L492">
        <v>9</v>
      </c>
      <c r="M492" t="str">
        <v>EQUIPOS</v>
      </c>
      <c r="N492" t="str">
        <v>CLIENTE-0006</v>
      </c>
      <c r="O492" t="str">
        <v>BARCELONA</v>
      </c>
      <c r="P492">
        <v>950</v>
      </c>
      <c r="Q492">
        <v>44554</v>
      </c>
      <c r="R492" t="str">
        <v>SI</v>
      </c>
    </row>
    <row r="493" spans="1:18" x14ac:dyDescent="0.25">
      <c r="A493" s="2">
        <v>492</v>
      </c>
      <c r="B493" t="s">
        <v>16</v>
      </c>
      <c r="C493" t="s">
        <v>27</v>
      </c>
      <c r="D493" t="s">
        <v>22</v>
      </c>
      <c r="E493" s="3">
        <v>500</v>
      </c>
      <c r="F493" s="4">
        <v>43585</v>
      </c>
      <c r="G493" s="2" t="s">
        <v>10</v>
      </c>
      <c r="L493">
        <v>30</v>
      </c>
      <c r="M493" t="str">
        <v>FORMACION</v>
      </c>
      <c r="N493" t="str">
        <v>CLIENTE-0007</v>
      </c>
      <c r="O493" t="str">
        <v>BARCELONA</v>
      </c>
      <c r="P493">
        <v>950</v>
      </c>
      <c r="Q493">
        <v>44381</v>
      </c>
      <c r="R493" t="str">
        <v>SI</v>
      </c>
    </row>
    <row r="494" spans="1:18" x14ac:dyDescent="0.25">
      <c r="A494" s="2">
        <v>493</v>
      </c>
      <c r="B494" t="s">
        <v>18</v>
      </c>
      <c r="C494" t="s">
        <v>19</v>
      </c>
      <c r="D494" t="s">
        <v>9</v>
      </c>
      <c r="E494" s="3">
        <v>750</v>
      </c>
      <c r="F494" s="4">
        <v>43669</v>
      </c>
      <c r="G494" s="2" t="s">
        <v>10</v>
      </c>
      <c r="L494">
        <v>32</v>
      </c>
      <c r="M494" t="str">
        <v>DESARROLLO</v>
      </c>
      <c r="N494" t="str">
        <v>CLIENTE-0009</v>
      </c>
      <c r="O494" t="str">
        <v>ALICANTE</v>
      </c>
      <c r="P494">
        <v>950</v>
      </c>
      <c r="Q494">
        <v>43606</v>
      </c>
      <c r="R494" t="str">
        <v>SI</v>
      </c>
    </row>
    <row r="495" spans="1:18" x14ac:dyDescent="0.25">
      <c r="A495" s="2">
        <v>494</v>
      </c>
      <c r="B495" t="s">
        <v>20</v>
      </c>
      <c r="C495" t="s">
        <v>8</v>
      </c>
      <c r="D495" t="s">
        <v>9</v>
      </c>
      <c r="E495" s="3">
        <v>950</v>
      </c>
      <c r="F495" s="4">
        <v>44158</v>
      </c>
      <c r="G495" s="2" t="s">
        <v>10</v>
      </c>
      <c r="L495">
        <v>64</v>
      </c>
      <c r="M495" t="str">
        <v>FORMACION</v>
      </c>
      <c r="N495" t="str">
        <v>CLIENTE-0004</v>
      </c>
      <c r="O495" t="str">
        <v>MADRID</v>
      </c>
      <c r="P495">
        <v>950</v>
      </c>
      <c r="Q495">
        <v>43634</v>
      </c>
      <c r="R495" t="str">
        <v>SI</v>
      </c>
    </row>
    <row r="496" spans="1:18" x14ac:dyDescent="0.25">
      <c r="A496" s="2">
        <v>495</v>
      </c>
      <c r="B496" t="s">
        <v>7</v>
      </c>
      <c r="C496" t="s">
        <v>12</v>
      </c>
      <c r="D496" t="s">
        <v>13</v>
      </c>
      <c r="E496" s="3">
        <v>680</v>
      </c>
      <c r="F496" s="4">
        <v>44416</v>
      </c>
      <c r="G496" s="2" t="s">
        <v>10</v>
      </c>
      <c r="L496">
        <v>66</v>
      </c>
      <c r="M496" t="str">
        <v>DESARROLLO</v>
      </c>
      <c r="N496" t="str">
        <v>CLIENTE-0006</v>
      </c>
      <c r="O496" t="str">
        <v>BARCELONA</v>
      </c>
      <c r="P496">
        <v>950</v>
      </c>
      <c r="Q496">
        <v>44269</v>
      </c>
      <c r="R496" t="str">
        <v>SI</v>
      </c>
    </row>
    <row r="497" spans="1:18" x14ac:dyDescent="0.25">
      <c r="A497" s="2">
        <v>496</v>
      </c>
      <c r="B497" t="s">
        <v>11</v>
      </c>
      <c r="C497" t="s">
        <v>15</v>
      </c>
      <c r="D497" t="s">
        <v>13</v>
      </c>
      <c r="E497" s="3">
        <v>950</v>
      </c>
      <c r="F497" s="4">
        <v>44255</v>
      </c>
      <c r="G497" s="2" t="s">
        <v>10</v>
      </c>
      <c r="L497">
        <v>76</v>
      </c>
      <c r="M497" t="str">
        <v>DESARROLLO</v>
      </c>
      <c r="N497" t="str">
        <v>CLIENTE-0008</v>
      </c>
      <c r="O497" t="str">
        <v>ALICANTE</v>
      </c>
      <c r="P497">
        <v>950</v>
      </c>
      <c r="Q497">
        <v>44101</v>
      </c>
      <c r="R497" t="str">
        <v>SI</v>
      </c>
    </row>
    <row r="498" spans="1:18" x14ac:dyDescent="0.25">
      <c r="A498" s="2">
        <v>497</v>
      </c>
      <c r="B498" t="s">
        <v>14</v>
      </c>
      <c r="C498" t="s">
        <v>17</v>
      </c>
      <c r="D498" t="s">
        <v>13</v>
      </c>
      <c r="E498" s="3">
        <v>1500</v>
      </c>
      <c r="F498" s="4">
        <v>44545</v>
      </c>
      <c r="G498" s="2" t="s">
        <v>10</v>
      </c>
      <c r="L498">
        <v>78</v>
      </c>
      <c r="M498" t="str">
        <v>EQUIPOS</v>
      </c>
      <c r="N498" t="str">
        <v>CLIENTE-0010</v>
      </c>
      <c r="O498" t="str">
        <v>MADRID</v>
      </c>
      <c r="P498">
        <v>950</v>
      </c>
      <c r="Q498">
        <v>43796</v>
      </c>
      <c r="R498" t="str">
        <v>SI</v>
      </c>
    </row>
    <row r="499" spans="1:18" x14ac:dyDescent="0.25">
      <c r="A499" s="2">
        <v>498</v>
      </c>
      <c r="B499" t="s">
        <v>16</v>
      </c>
      <c r="C499" t="s">
        <v>21</v>
      </c>
      <c r="D499" t="s">
        <v>22</v>
      </c>
      <c r="E499" s="3">
        <v>5000</v>
      </c>
      <c r="F499" s="4">
        <v>43663</v>
      </c>
      <c r="G499" s="2" t="s">
        <v>10</v>
      </c>
      <c r="L499">
        <v>99</v>
      </c>
      <c r="M499" t="str">
        <v>FORMACION</v>
      </c>
      <c r="N499" t="str">
        <v>CLIENTE-0006</v>
      </c>
      <c r="O499" t="str">
        <v>BARCELONA</v>
      </c>
      <c r="P499">
        <v>950</v>
      </c>
      <c r="Q499">
        <v>44305</v>
      </c>
      <c r="R499" t="str">
        <v>SI</v>
      </c>
    </row>
    <row r="500" spans="1:18" x14ac:dyDescent="0.25">
      <c r="A500" s="2">
        <v>499</v>
      </c>
      <c r="B500" t="s">
        <v>18</v>
      </c>
      <c r="C500" t="s">
        <v>23</v>
      </c>
      <c r="D500" t="s">
        <v>22</v>
      </c>
      <c r="E500" s="3">
        <v>6500</v>
      </c>
      <c r="F500" s="4">
        <v>43891</v>
      </c>
      <c r="G500" s="2" t="s">
        <v>10</v>
      </c>
      <c r="L500">
        <v>101</v>
      </c>
      <c r="M500" t="str">
        <v>DESARROLLO</v>
      </c>
      <c r="N500" t="str">
        <v>CLIENTE-0008</v>
      </c>
      <c r="O500" t="str">
        <v>ALICANTE</v>
      </c>
      <c r="P500">
        <v>950</v>
      </c>
      <c r="Q500">
        <v>43910</v>
      </c>
      <c r="R500" t="str">
        <v>SI</v>
      </c>
    </row>
    <row r="501" spans="1:18" x14ac:dyDescent="0.25">
      <c r="A501" s="2">
        <v>500</v>
      </c>
      <c r="B501" t="s">
        <v>20</v>
      </c>
      <c r="C501" t="s">
        <v>24</v>
      </c>
      <c r="D501" t="s">
        <v>9</v>
      </c>
      <c r="E501" s="3">
        <v>1200</v>
      </c>
      <c r="F501" s="4">
        <v>44361</v>
      </c>
      <c r="G501" s="2" t="s">
        <v>10</v>
      </c>
      <c r="L501">
        <v>133</v>
      </c>
      <c r="M501" t="str">
        <v>PROGRAMA</v>
      </c>
      <c r="N501" t="str">
        <v>CLIENTE-0008</v>
      </c>
      <c r="O501" t="str">
        <v>ALICANTE</v>
      </c>
      <c r="P501">
        <v>950</v>
      </c>
      <c r="Q501">
        <v>44255</v>
      </c>
      <c r="R501" t="str">
        <v>SI</v>
      </c>
    </row>
    <row r="502" spans="1:18" x14ac:dyDescent="0.25">
      <c r="A502" s="2">
        <v>501</v>
      </c>
      <c r="B502" t="s">
        <v>7</v>
      </c>
      <c r="C502" t="s">
        <v>8</v>
      </c>
      <c r="D502" t="s">
        <v>9</v>
      </c>
      <c r="E502" s="3">
        <v>800</v>
      </c>
      <c r="F502" s="4">
        <v>43717</v>
      </c>
      <c r="G502" s="2" t="s">
        <v>10</v>
      </c>
      <c r="L502">
        <v>135</v>
      </c>
      <c r="M502" t="str">
        <v>CONSULTORIA</v>
      </c>
      <c r="N502" t="str">
        <v>CLIENTE-0010</v>
      </c>
      <c r="O502" t="str">
        <v>MADRID</v>
      </c>
      <c r="P502">
        <v>950</v>
      </c>
      <c r="Q502">
        <v>44331</v>
      </c>
      <c r="R502" t="str">
        <v>SI</v>
      </c>
    </row>
    <row r="503" spans="1:18" x14ac:dyDescent="0.25">
      <c r="A503" s="2">
        <v>502</v>
      </c>
      <c r="B503" t="s">
        <v>7</v>
      </c>
      <c r="C503" t="s">
        <v>12</v>
      </c>
      <c r="D503" t="s">
        <v>13</v>
      </c>
      <c r="E503" s="3">
        <v>750</v>
      </c>
      <c r="F503" s="4">
        <v>44550</v>
      </c>
      <c r="G503" s="2" t="s">
        <v>10</v>
      </c>
      <c r="L503">
        <v>145</v>
      </c>
      <c r="M503" t="str">
        <v>PROGRAMA</v>
      </c>
      <c r="N503" t="str">
        <v>CLIENTE-0007</v>
      </c>
      <c r="O503" t="str">
        <v>BARCELONA</v>
      </c>
      <c r="P503">
        <v>950</v>
      </c>
      <c r="Q503">
        <v>44317</v>
      </c>
      <c r="R503" t="str">
        <v>NO</v>
      </c>
    </row>
    <row r="504" spans="1:18" x14ac:dyDescent="0.25">
      <c r="A504" s="2">
        <v>503</v>
      </c>
      <c r="B504" t="s">
        <v>11</v>
      </c>
      <c r="C504" t="s">
        <v>12</v>
      </c>
      <c r="D504" t="s">
        <v>13</v>
      </c>
      <c r="E504" s="3">
        <v>4500</v>
      </c>
      <c r="F504" s="4">
        <v>44182</v>
      </c>
      <c r="G504" s="2" t="s">
        <v>10</v>
      </c>
      <c r="L504">
        <v>147</v>
      </c>
      <c r="M504" t="str">
        <v>CONSULTORIA</v>
      </c>
      <c r="N504" t="str">
        <v>CLIENTE-0009</v>
      </c>
      <c r="O504" t="str">
        <v>ALICANTE</v>
      </c>
      <c r="P504">
        <v>950</v>
      </c>
      <c r="Q504">
        <v>43820</v>
      </c>
      <c r="R504" t="str">
        <v>SI</v>
      </c>
    </row>
    <row r="505" spans="1:18" x14ac:dyDescent="0.25">
      <c r="A505" s="2">
        <v>504</v>
      </c>
      <c r="B505" t="s">
        <v>14</v>
      </c>
      <c r="C505" t="s">
        <v>15</v>
      </c>
      <c r="D505" t="s">
        <v>13</v>
      </c>
      <c r="E505" s="3">
        <v>500</v>
      </c>
      <c r="F505" s="4">
        <v>43752</v>
      </c>
      <c r="G505" s="2" t="s">
        <v>10</v>
      </c>
      <c r="L505">
        <v>168</v>
      </c>
      <c r="M505" t="str">
        <v>FORMACION</v>
      </c>
      <c r="N505" t="str">
        <v>CLIENTE-0010</v>
      </c>
      <c r="O505" t="str">
        <v>MADRID</v>
      </c>
      <c r="P505">
        <v>950</v>
      </c>
      <c r="Q505">
        <v>43632</v>
      </c>
      <c r="R505" t="str">
        <v>SI</v>
      </c>
    </row>
    <row r="506" spans="1:18" x14ac:dyDescent="0.25">
      <c r="A506" s="2">
        <v>505</v>
      </c>
      <c r="B506" t="s">
        <v>16</v>
      </c>
      <c r="C506" t="s">
        <v>17</v>
      </c>
      <c r="D506" t="s">
        <v>13</v>
      </c>
      <c r="E506" s="3">
        <v>750</v>
      </c>
      <c r="F506" s="4">
        <v>44174</v>
      </c>
      <c r="G506" s="2" t="s">
        <v>26</v>
      </c>
      <c r="L506">
        <v>170</v>
      </c>
      <c r="M506" t="str">
        <v>DESARROLLO</v>
      </c>
      <c r="N506" t="str">
        <v>CLIENTE-0010</v>
      </c>
      <c r="O506" t="str">
        <v>MADRID</v>
      </c>
      <c r="P506">
        <v>950</v>
      </c>
      <c r="Q506">
        <v>43662</v>
      </c>
      <c r="R506" t="str">
        <v>SI</v>
      </c>
    </row>
    <row r="507" spans="1:18" x14ac:dyDescent="0.25">
      <c r="A507" s="2">
        <v>506</v>
      </c>
      <c r="B507" t="s">
        <v>18</v>
      </c>
      <c r="C507" t="s">
        <v>21</v>
      </c>
      <c r="D507" t="s">
        <v>22</v>
      </c>
      <c r="E507" s="3">
        <v>950</v>
      </c>
      <c r="F507" s="4">
        <v>44317</v>
      </c>
      <c r="G507" s="2" t="s">
        <v>26</v>
      </c>
      <c r="L507">
        <v>202</v>
      </c>
      <c r="M507" t="str">
        <v>PROGRAMA</v>
      </c>
      <c r="N507" t="str">
        <v>CLIENTE-0005</v>
      </c>
      <c r="O507" t="str">
        <v>BARCELONA</v>
      </c>
      <c r="P507">
        <v>950</v>
      </c>
      <c r="Q507">
        <v>44201</v>
      </c>
      <c r="R507" t="str">
        <v>SI</v>
      </c>
    </row>
    <row r="508" spans="1:18" x14ac:dyDescent="0.25">
      <c r="A508" s="2">
        <v>507</v>
      </c>
      <c r="B508" t="s">
        <v>20</v>
      </c>
      <c r="C508" t="s">
        <v>23</v>
      </c>
      <c r="D508" t="s">
        <v>22</v>
      </c>
      <c r="E508" s="3">
        <v>680</v>
      </c>
      <c r="F508" s="4">
        <v>44544</v>
      </c>
      <c r="G508" s="2" t="s">
        <v>26</v>
      </c>
      <c r="L508">
        <v>204</v>
      </c>
      <c r="M508" t="str">
        <v>EQUIPOS</v>
      </c>
      <c r="N508" t="str">
        <v>CLIENTE-0006</v>
      </c>
      <c r="O508" t="str">
        <v>BARCELONA</v>
      </c>
      <c r="P508">
        <v>950</v>
      </c>
      <c r="Q508">
        <v>43741</v>
      </c>
      <c r="R508" t="str">
        <v>SI</v>
      </c>
    </row>
    <row r="509" spans="1:18" x14ac:dyDescent="0.25">
      <c r="A509" s="2">
        <v>508</v>
      </c>
      <c r="B509" t="s">
        <v>7</v>
      </c>
      <c r="C509" t="s">
        <v>24</v>
      </c>
      <c r="D509" t="s">
        <v>9</v>
      </c>
      <c r="E509" s="3">
        <v>950</v>
      </c>
      <c r="F509" s="4">
        <v>43716</v>
      </c>
      <c r="G509" s="2" t="s">
        <v>26</v>
      </c>
      <c r="L509">
        <v>214</v>
      </c>
      <c r="M509" t="str">
        <v>EQUIPOS</v>
      </c>
      <c r="N509" t="str">
        <v>CLIENTE-0004</v>
      </c>
      <c r="O509" t="str">
        <v>MADRID</v>
      </c>
      <c r="P509">
        <v>950</v>
      </c>
      <c r="Q509">
        <v>44121</v>
      </c>
      <c r="R509" t="str">
        <v>NO</v>
      </c>
    </row>
    <row r="510" spans="1:18" x14ac:dyDescent="0.25">
      <c r="A510" s="2">
        <v>509</v>
      </c>
      <c r="B510" t="s">
        <v>11</v>
      </c>
      <c r="C510" t="s">
        <v>25</v>
      </c>
      <c r="D510" t="s">
        <v>9</v>
      </c>
      <c r="E510" s="3">
        <v>1500</v>
      </c>
      <c r="F510" s="4">
        <v>43626</v>
      </c>
      <c r="G510" s="2" t="s">
        <v>26</v>
      </c>
      <c r="L510">
        <v>216</v>
      </c>
      <c r="M510" t="str">
        <v>FORMACION</v>
      </c>
      <c r="N510" t="str">
        <v>CLIENTE-0006</v>
      </c>
      <c r="O510" t="str">
        <v>BARCELONA</v>
      </c>
      <c r="P510">
        <v>950</v>
      </c>
      <c r="Q510">
        <v>44006</v>
      </c>
      <c r="R510" t="str">
        <v>SI</v>
      </c>
    </row>
    <row r="511" spans="1:18" x14ac:dyDescent="0.25">
      <c r="A511" s="2">
        <v>510</v>
      </c>
      <c r="B511" t="s">
        <v>14</v>
      </c>
      <c r="C511" t="s">
        <v>24</v>
      </c>
      <c r="D511" t="s">
        <v>9</v>
      </c>
      <c r="E511" s="3">
        <v>5000</v>
      </c>
      <c r="F511" s="4">
        <v>43606</v>
      </c>
      <c r="G511" s="2" t="s">
        <v>26</v>
      </c>
      <c r="L511">
        <v>237</v>
      </c>
      <c r="M511" t="str">
        <v>PROYECTO</v>
      </c>
      <c r="N511" t="str">
        <v>CLIENTE-0002</v>
      </c>
      <c r="O511" t="str">
        <v>ALICANTE</v>
      </c>
      <c r="P511">
        <v>950</v>
      </c>
      <c r="Q511">
        <v>43467</v>
      </c>
      <c r="R511" t="str">
        <v>SI</v>
      </c>
    </row>
    <row r="512" spans="1:18" x14ac:dyDescent="0.25">
      <c r="A512" s="2">
        <v>511</v>
      </c>
      <c r="B512" t="s">
        <v>16</v>
      </c>
      <c r="C512" t="s">
        <v>25</v>
      </c>
      <c r="D512" t="s">
        <v>9</v>
      </c>
      <c r="E512" s="3">
        <v>6500</v>
      </c>
      <c r="F512" s="4">
        <v>44185</v>
      </c>
      <c r="G512" s="2" t="s">
        <v>26</v>
      </c>
      <c r="L512">
        <v>239</v>
      </c>
      <c r="M512" t="str">
        <v>PROGRAMA</v>
      </c>
      <c r="N512" t="str">
        <v>CLIENTE-0004</v>
      </c>
      <c r="O512" t="str">
        <v>MADRID</v>
      </c>
      <c r="P512">
        <v>950</v>
      </c>
      <c r="Q512">
        <v>43517</v>
      </c>
      <c r="R512" t="str">
        <v>SI</v>
      </c>
    </row>
    <row r="513" spans="1:18" x14ac:dyDescent="0.25">
      <c r="A513" s="2">
        <v>512</v>
      </c>
      <c r="B513" t="s">
        <v>18</v>
      </c>
      <c r="C513" t="s">
        <v>27</v>
      </c>
      <c r="D513" t="s">
        <v>22</v>
      </c>
      <c r="E513" s="3">
        <v>8500</v>
      </c>
      <c r="F513" s="4">
        <v>44265</v>
      </c>
      <c r="G513" s="2" t="s">
        <v>10</v>
      </c>
      <c r="L513">
        <v>271</v>
      </c>
      <c r="M513" t="str">
        <v>DESARROLLO</v>
      </c>
      <c r="N513" t="str">
        <v>CLIENTE-0002</v>
      </c>
      <c r="O513" t="str">
        <v>ALICANTE</v>
      </c>
      <c r="P513">
        <v>950</v>
      </c>
      <c r="Q513">
        <v>44519</v>
      </c>
      <c r="R513" t="str">
        <v>SI</v>
      </c>
    </row>
    <row r="514" spans="1:18" x14ac:dyDescent="0.25">
      <c r="A514" s="2">
        <v>513</v>
      </c>
      <c r="B514" t="s">
        <v>20</v>
      </c>
      <c r="C514" t="s">
        <v>19</v>
      </c>
      <c r="D514" t="s">
        <v>9</v>
      </c>
      <c r="E514" s="3">
        <v>1200</v>
      </c>
      <c r="F514" s="4">
        <v>43503</v>
      </c>
      <c r="G514" s="2" t="s">
        <v>10</v>
      </c>
      <c r="L514">
        <v>273</v>
      </c>
      <c r="M514" t="str">
        <v>EQUIPOS</v>
      </c>
      <c r="N514" t="str">
        <v>CLIENTE-0004</v>
      </c>
      <c r="O514" t="str">
        <v>MADRID</v>
      </c>
      <c r="P514">
        <v>950</v>
      </c>
      <c r="Q514">
        <v>43728</v>
      </c>
      <c r="R514" t="str">
        <v>SI</v>
      </c>
    </row>
    <row r="515" spans="1:18" x14ac:dyDescent="0.25">
      <c r="A515" s="2">
        <v>514</v>
      </c>
      <c r="B515" t="s">
        <v>7</v>
      </c>
      <c r="C515" t="s">
        <v>8</v>
      </c>
      <c r="D515" t="s">
        <v>9</v>
      </c>
      <c r="E515" s="3">
        <v>300</v>
      </c>
      <c r="F515" s="4">
        <v>44382</v>
      </c>
      <c r="G515" s="2" t="s">
        <v>10</v>
      </c>
      <c r="L515">
        <v>280</v>
      </c>
      <c r="M515" t="str">
        <v>CONSULTORIA</v>
      </c>
      <c r="N515" t="str">
        <v>CLIENTE-0004</v>
      </c>
      <c r="O515" t="str">
        <v>MADRID</v>
      </c>
      <c r="P515">
        <v>950</v>
      </c>
      <c r="Q515">
        <v>44317</v>
      </c>
      <c r="R515" t="str">
        <v>NO</v>
      </c>
    </row>
    <row r="516" spans="1:18" x14ac:dyDescent="0.25">
      <c r="A516" s="2">
        <v>515</v>
      </c>
      <c r="B516" t="s">
        <v>11</v>
      </c>
      <c r="C516" t="s">
        <v>12</v>
      </c>
      <c r="D516" t="s">
        <v>13</v>
      </c>
      <c r="E516" s="3">
        <v>200</v>
      </c>
      <c r="F516" s="4">
        <v>44222</v>
      </c>
      <c r="G516" s="2" t="s">
        <v>10</v>
      </c>
      <c r="L516">
        <v>282</v>
      </c>
      <c r="M516" t="str">
        <v>PROYECTO</v>
      </c>
      <c r="N516" t="str">
        <v>CLIENTE-0005</v>
      </c>
      <c r="O516" t="str">
        <v>BARCELONA</v>
      </c>
      <c r="P516">
        <v>950</v>
      </c>
      <c r="Q516">
        <v>44108</v>
      </c>
      <c r="R516" t="str">
        <v>NO</v>
      </c>
    </row>
    <row r="517" spans="1:18" x14ac:dyDescent="0.25">
      <c r="A517" s="2">
        <v>516</v>
      </c>
      <c r="B517" t="s">
        <v>14</v>
      </c>
      <c r="C517" t="s">
        <v>15</v>
      </c>
      <c r="D517" t="s">
        <v>13</v>
      </c>
      <c r="E517" s="3">
        <v>150</v>
      </c>
      <c r="F517" s="4">
        <v>44145</v>
      </c>
      <c r="G517" s="2" t="s">
        <v>10</v>
      </c>
      <c r="L517">
        <v>314</v>
      </c>
      <c r="M517" t="str">
        <v>EQUIPOS</v>
      </c>
      <c r="N517" t="str">
        <v>CLIENTE-0005</v>
      </c>
      <c r="O517" t="str">
        <v>BARCELONA</v>
      </c>
      <c r="P517">
        <v>950</v>
      </c>
      <c r="Q517">
        <v>43761</v>
      </c>
      <c r="R517" t="str">
        <v>SI</v>
      </c>
    </row>
    <row r="518" spans="1:18" x14ac:dyDescent="0.25">
      <c r="A518" s="2">
        <v>517</v>
      </c>
      <c r="B518" t="s">
        <v>16</v>
      </c>
      <c r="C518" t="s">
        <v>17</v>
      </c>
      <c r="D518" t="s">
        <v>13</v>
      </c>
      <c r="E518" s="3">
        <v>120</v>
      </c>
      <c r="F518" s="4">
        <v>44427</v>
      </c>
      <c r="G518" s="2" t="s">
        <v>10</v>
      </c>
      <c r="L518">
        <v>316</v>
      </c>
      <c r="M518" t="str">
        <v>FORMACION</v>
      </c>
      <c r="N518" t="str">
        <v>CLIENTE-0007</v>
      </c>
      <c r="O518" t="str">
        <v>BARCELONA</v>
      </c>
      <c r="P518">
        <v>950</v>
      </c>
      <c r="Q518">
        <v>43559</v>
      </c>
      <c r="R518" t="str">
        <v>SI</v>
      </c>
    </row>
    <row r="519" spans="1:18" x14ac:dyDescent="0.25">
      <c r="A519" s="2">
        <v>518</v>
      </c>
      <c r="B519" t="s">
        <v>11</v>
      </c>
      <c r="C519" t="s">
        <v>21</v>
      </c>
      <c r="D519" t="s">
        <v>22</v>
      </c>
      <c r="E519" s="3">
        <v>300</v>
      </c>
      <c r="F519" s="4">
        <v>44332</v>
      </c>
      <c r="G519" s="2" t="s">
        <v>10</v>
      </c>
      <c r="L519">
        <v>326</v>
      </c>
      <c r="M519" t="str">
        <v>EQUIPOS</v>
      </c>
      <c r="N519" t="str">
        <v>CLIENTE-0009</v>
      </c>
      <c r="O519" t="str">
        <v>ALICANTE</v>
      </c>
      <c r="P519">
        <v>950</v>
      </c>
      <c r="Q519">
        <v>43611</v>
      </c>
      <c r="R519" t="str">
        <v>SI</v>
      </c>
    </row>
    <row r="520" spans="1:18" x14ac:dyDescent="0.25">
      <c r="A520" s="2">
        <v>519</v>
      </c>
      <c r="B520" t="s">
        <v>14</v>
      </c>
      <c r="C520" t="s">
        <v>23</v>
      </c>
      <c r="D520" t="s">
        <v>22</v>
      </c>
      <c r="E520" s="3">
        <v>350</v>
      </c>
      <c r="F520" s="4">
        <v>44389</v>
      </c>
      <c r="G520" s="2" t="s">
        <v>10</v>
      </c>
      <c r="L520">
        <v>328</v>
      </c>
      <c r="M520" t="str">
        <v>FORMACION</v>
      </c>
      <c r="N520" t="str">
        <v>CLIENTE-0001</v>
      </c>
      <c r="O520" t="str">
        <v>MADRID</v>
      </c>
      <c r="P520">
        <v>950</v>
      </c>
      <c r="Q520">
        <v>44411</v>
      </c>
      <c r="R520" t="str">
        <v>SI</v>
      </c>
    </row>
    <row r="521" spans="1:18" x14ac:dyDescent="0.25">
      <c r="A521" s="2">
        <v>520</v>
      </c>
      <c r="B521" t="s">
        <v>16</v>
      </c>
      <c r="C521" t="s">
        <v>24</v>
      </c>
      <c r="D521" t="s">
        <v>9</v>
      </c>
      <c r="E521" s="3">
        <v>300</v>
      </c>
      <c r="F521" s="4">
        <v>43570</v>
      </c>
      <c r="G521" s="2" t="s">
        <v>10</v>
      </c>
      <c r="L521">
        <v>349</v>
      </c>
      <c r="M521" t="str">
        <v>PROGRAMA</v>
      </c>
      <c r="N521" t="str">
        <v>CLIENTE-0007</v>
      </c>
      <c r="O521" t="str">
        <v>BARCELONA</v>
      </c>
      <c r="P521">
        <v>950</v>
      </c>
      <c r="Q521">
        <v>43778</v>
      </c>
      <c r="R521" t="str">
        <v>NO</v>
      </c>
    </row>
    <row r="522" spans="1:18" x14ac:dyDescent="0.25">
      <c r="A522" s="2">
        <v>521</v>
      </c>
      <c r="B522" t="s">
        <v>18</v>
      </c>
      <c r="C522" t="s">
        <v>8</v>
      </c>
      <c r="D522" t="s">
        <v>9</v>
      </c>
      <c r="E522" s="3">
        <v>120</v>
      </c>
      <c r="F522" s="4">
        <v>43826</v>
      </c>
      <c r="G522" s="2" t="s">
        <v>10</v>
      </c>
      <c r="L522">
        <v>351</v>
      </c>
      <c r="M522" t="str">
        <v>CONSULTORIA</v>
      </c>
      <c r="N522" t="str">
        <v>CLIENTE-0009</v>
      </c>
      <c r="O522" t="str">
        <v>ALICANTE</v>
      </c>
      <c r="P522">
        <v>950</v>
      </c>
      <c r="Q522">
        <v>44277</v>
      </c>
      <c r="R522" t="str">
        <v>NO</v>
      </c>
    </row>
    <row r="523" spans="1:18" x14ac:dyDescent="0.25">
      <c r="A523" s="2">
        <v>522</v>
      </c>
      <c r="B523" t="s">
        <v>20</v>
      </c>
      <c r="C523" t="s">
        <v>12</v>
      </c>
      <c r="D523" t="s">
        <v>13</v>
      </c>
      <c r="E523" s="3">
        <v>150</v>
      </c>
      <c r="F523" s="4">
        <v>43540</v>
      </c>
      <c r="G523" s="2" t="s">
        <v>10</v>
      </c>
      <c r="L523">
        <v>391</v>
      </c>
      <c r="M523" t="str">
        <v>DESARROLLO</v>
      </c>
      <c r="N523" t="str">
        <v>CLIENTE-0004</v>
      </c>
      <c r="O523" t="str">
        <v>MADRID</v>
      </c>
      <c r="P523">
        <v>950</v>
      </c>
      <c r="Q523">
        <v>43979</v>
      </c>
      <c r="R523" t="str">
        <v>SI</v>
      </c>
    </row>
    <row r="524" spans="1:18" x14ac:dyDescent="0.25">
      <c r="A524" s="2">
        <v>523</v>
      </c>
      <c r="B524" t="s">
        <v>7</v>
      </c>
      <c r="C524" t="s">
        <v>15</v>
      </c>
      <c r="D524" t="s">
        <v>13</v>
      </c>
      <c r="E524" s="3">
        <v>1200</v>
      </c>
      <c r="F524" s="4">
        <v>44089</v>
      </c>
      <c r="G524" s="2" t="s">
        <v>10</v>
      </c>
      <c r="L524">
        <v>393</v>
      </c>
      <c r="M524" t="str">
        <v>EQUIPOS</v>
      </c>
      <c r="N524" t="str">
        <v>CLIENTE-0005</v>
      </c>
      <c r="O524" t="str">
        <v>BARCELONA</v>
      </c>
      <c r="P524">
        <v>950</v>
      </c>
      <c r="Q524">
        <v>44418</v>
      </c>
      <c r="R524" t="str">
        <v>NO</v>
      </c>
    </row>
    <row r="525" spans="1:18" x14ac:dyDescent="0.25">
      <c r="A525" s="2">
        <v>524</v>
      </c>
      <c r="B525" t="s">
        <v>11</v>
      </c>
      <c r="C525" t="s">
        <v>17</v>
      </c>
      <c r="D525" t="s">
        <v>13</v>
      </c>
      <c r="E525" s="3">
        <v>800</v>
      </c>
      <c r="F525" s="4">
        <v>43918</v>
      </c>
      <c r="G525" s="2" t="s">
        <v>10</v>
      </c>
      <c r="L525">
        <v>425</v>
      </c>
      <c r="M525" t="str">
        <v>CONSULTORIA</v>
      </c>
      <c r="N525" t="str">
        <v>CLIENTE-0005</v>
      </c>
      <c r="O525" t="str">
        <v>BARCELONA</v>
      </c>
      <c r="P525">
        <v>950</v>
      </c>
      <c r="Q525">
        <v>43847</v>
      </c>
      <c r="R525" t="str">
        <v>SI</v>
      </c>
    </row>
    <row r="526" spans="1:18" x14ac:dyDescent="0.25">
      <c r="A526" s="2">
        <v>525</v>
      </c>
      <c r="B526" t="s">
        <v>14</v>
      </c>
      <c r="C526" t="s">
        <v>19</v>
      </c>
      <c r="D526" t="s">
        <v>9</v>
      </c>
      <c r="E526" s="3">
        <v>750</v>
      </c>
      <c r="F526" s="4">
        <v>44058</v>
      </c>
      <c r="G526" s="2" t="s">
        <v>10</v>
      </c>
      <c r="L526">
        <v>427</v>
      </c>
      <c r="M526" t="str">
        <v>PROYECTO</v>
      </c>
      <c r="N526" t="str">
        <v>CLIENTE-0007</v>
      </c>
      <c r="O526" t="str">
        <v>BARCELONA</v>
      </c>
      <c r="P526">
        <v>950</v>
      </c>
      <c r="Q526">
        <v>43966</v>
      </c>
      <c r="R526" t="str">
        <v>SI</v>
      </c>
    </row>
    <row r="527" spans="1:18" x14ac:dyDescent="0.25">
      <c r="A527" s="2">
        <v>526</v>
      </c>
      <c r="B527" t="s">
        <v>20</v>
      </c>
      <c r="C527" t="s">
        <v>8</v>
      </c>
      <c r="D527" t="s">
        <v>9</v>
      </c>
      <c r="E527" s="3">
        <v>4500</v>
      </c>
      <c r="F527" s="4">
        <v>43527</v>
      </c>
      <c r="G527" s="2" t="s">
        <v>10</v>
      </c>
      <c r="L527">
        <v>437</v>
      </c>
      <c r="M527" t="str">
        <v>PROYECTO</v>
      </c>
      <c r="N527" t="str">
        <v>CLIENTE-0005</v>
      </c>
      <c r="O527" t="str">
        <v>BARCELONA</v>
      </c>
      <c r="P527">
        <v>950</v>
      </c>
      <c r="Q527">
        <v>43635</v>
      </c>
      <c r="R527" t="str">
        <v>NO</v>
      </c>
    </row>
    <row r="528" spans="1:18" x14ac:dyDescent="0.25">
      <c r="A528" s="2">
        <v>527</v>
      </c>
      <c r="B528" t="s">
        <v>7</v>
      </c>
      <c r="C528" t="s">
        <v>12</v>
      </c>
      <c r="D528" t="s">
        <v>13</v>
      </c>
      <c r="E528" s="3">
        <v>500</v>
      </c>
      <c r="F528" s="4">
        <v>43836</v>
      </c>
      <c r="G528" s="2" t="s">
        <v>10</v>
      </c>
      <c r="L528">
        <v>439</v>
      </c>
      <c r="M528" t="str">
        <v>PROGRAMA</v>
      </c>
      <c r="N528" t="str">
        <v>CLIENTE-0006</v>
      </c>
      <c r="O528" t="str">
        <v>BARCELONA</v>
      </c>
      <c r="P528">
        <v>950</v>
      </c>
      <c r="Q528">
        <v>44543</v>
      </c>
      <c r="R528" t="str">
        <v>NO</v>
      </c>
    </row>
    <row r="529" spans="1:18" x14ac:dyDescent="0.25">
      <c r="A529" s="2">
        <v>528</v>
      </c>
      <c r="B529" t="s">
        <v>11</v>
      </c>
      <c r="C529" t="s">
        <v>12</v>
      </c>
      <c r="D529" t="s">
        <v>13</v>
      </c>
      <c r="E529" s="3">
        <v>750</v>
      </c>
      <c r="F529" s="4">
        <v>44418</v>
      </c>
      <c r="G529" s="2" t="s">
        <v>10</v>
      </c>
      <c r="L529">
        <v>460</v>
      </c>
      <c r="M529" t="str">
        <v>CONSULTORIA</v>
      </c>
      <c r="N529" t="str">
        <v>CLIENTE-0007</v>
      </c>
      <c r="O529" t="str">
        <v>BARCELONA</v>
      </c>
      <c r="P529">
        <v>950</v>
      </c>
      <c r="Q529">
        <v>43691</v>
      </c>
      <c r="R529" t="str">
        <v>SI</v>
      </c>
    </row>
    <row r="530" spans="1:18" x14ac:dyDescent="0.25">
      <c r="A530" s="2">
        <v>529</v>
      </c>
      <c r="B530" t="s">
        <v>14</v>
      </c>
      <c r="C530" t="s">
        <v>15</v>
      </c>
      <c r="D530" t="s">
        <v>13</v>
      </c>
      <c r="E530" s="3">
        <v>950</v>
      </c>
      <c r="F530" s="4">
        <v>44335</v>
      </c>
      <c r="G530" s="2" t="s">
        <v>10</v>
      </c>
      <c r="L530">
        <v>462</v>
      </c>
      <c r="M530" t="str">
        <v>PROYECTO</v>
      </c>
      <c r="N530" t="str">
        <v>CLIENTE-0009</v>
      </c>
      <c r="O530" t="str">
        <v>ALICANTE</v>
      </c>
      <c r="P530">
        <v>950</v>
      </c>
      <c r="Q530">
        <v>43581</v>
      </c>
      <c r="R530" t="str">
        <v>SI</v>
      </c>
    </row>
    <row r="531" spans="1:18" x14ac:dyDescent="0.25">
      <c r="A531" s="2">
        <v>530</v>
      </c>
      <c r="B531" t="s">
        <v>16</v>
      </c>
      <c r="C531" t="s">
        <v>17</v>
      </c>
      <c r="D531" t="s">
        <v>13</v>
      </c>
      <c r="E531" s="3">
        <v>680</v>
      </c>
      <c r="F531" s="4">
        <v>43904</v>
      </c>
      <c r="G531" s="2" t="s">
        <v>10</v>
      </c>
      <c r="L531">
        <v>494</v>
      </c>
      <c r="M531" t="str">
        <v>CONSULTORIA</v>
      </c>
      <c r="N531" t="str">
        <v>CLIENTE-0004</v>
      </c>
      <c r="O531" t="str">
        <v>MADRID</v>
      </c>
      <c r="P531">
        <v>950</v>
      </c>
      <c r="Q531">
        <v>44158</v>
      </c>
      <c r="R531" t="str">
        <v>SI</v>
      </c>
    </row>
    <row r="532" spans="1:18" x14ac:dyDescent="0.25">
      <c r="A532" s="2">
        <v>531</v>
      </c>
      <c r="B532" t="s">
        <v>18</v>
      </c>
      <c r="C532" t="s">
        <v>21</v>
      </c>
      <c r="D532" t="s">
        <v>22</v>
      </c>
      <c r="E532" s="3">
        <v>950</v>
      </c>
      <c r="F532" s="4">
        <v>43612</v>
      </c>
      <c r="G532" s="2" t="s">
        <v>10</v>
      </c>
      <c r="L532">
        <v>496</v>
      </c>
      <c r="M532" t="str">
        <v>PROYECTO</v>
      </c>
      <c r="N532" t="str">
        <v>CLIENTE-0006</v>
      </c>
      <c r="O532" t="str">
        <v>BARCELONA</v>
      </c>
      <c r="P532">
        <v>950</v>
      </c>
      <c r="Q532">
        <v>44255</v>
      </c>
      <c r="R532" t="str">
        <v>SI</v>
      </c>
    </row>
    <row r="533" spans="1:18" x14ac:dyDescent="0.25">
      <c r="A533" s="2">
        <v>532</v>
      </c>
      <c r="B533" t="s">
        <v>20</v>
      </c>
      <c r="C533" t="s">
        <v>23</v>
      </c>
      <c r="D533" t="s">
        <v>22</v>
      </c>
      <c r="E533" s="3">
        <v>1500</v>
      </c>
      <c r="F533" s="4">
        <v>44127</v>
      </c>
      <c r="G533" s="2" t="s">
        <v>10</v>
      </c>
      <c r="L533">
        <v>506</v>
      </c>
      <c r="M533" t="str">
        <v>FORMACION</v>
      </c>
      <c r="N533" t="str">
        <v>CLIENTE-0008</v>
      </c>
      <c r="O533" t="str">
        <v>ALICANTE</v>
      </c>
      <c r="P533">
        <v>950</v>
      </c>
      <c r="Q533">
        <v>44317</v>
      </c>
      <c r="R533" t="str">
        <v>NO</v>
      </c>
    </row>
    <row r="534" spans="1:18" x14ac:dyDescent="0.25">
      <c r="A534" s="2">
        <v>533</v>
      </c>
      <c r="B534" t="s">
        <v>7</v>
      </c>
      <c r="C534" t="s">
        <v>24</v>
      </c>
      <c r="D534" t="s">
        <v>9</v>
      </c>
      <c r="E534" s="3">
        <v>5000</v>
      </c>
      <c r="F534" s="4">
        <v>43952</v>
      </c>
      <c r="G534" s="2" t="s">
        <v>26</v>
      </c>
      <c r="L534">
        <v>508</v>
      </c>
      <c r="M534" t="str">
        <v>DESARROLLO</v>
      </c>
      <c r="N534" t="str">
        <v>CLIENTE-0010</v>
      </c>
      <c r="O534" t="str">
        <v>MADRID</v>
      </c>
      <c r="P534">
        <v>950</v>
      </c>
      <c r="Q534">
        <v>43716</v>
      </c>
      <c r="R534" t="str">
        <v>NO</v>
      </c>
    </row>
    <row r="535" spans="1:18" x14ac:dyDescent="0.25">
      <c r="A535" s="2">
        <v>534</v>
      </c>
      <c r="B535" t="s">
        <v>11</v>
      </c>
      <c r="C535" t="s">
        <v>25</v>
      </c>
      <c r="D535" t="s">
        <v>9</v>
      </c>
      <c r="E535" s="3">
        <v>6500</v>
      </c>
      <c r="F535" s="4">
        <v>43632</v>
      </c>
      <c r="G535" s="2" t="s">
        <v>26</v>
      </c>
      <c r="L535">
        <v>529</v>
      </c>
      <c r="M535" t="str">
        <v>EQUIPOS</v>
      </c>
      <c r="N535" t="str">
        <v>CLIENTE-0006</v>
      </c>
      <c r="O535" t="str">
        <v>BARCELONA</v>
      </c>
      <c r="P535">
        <v>950</v>
      </c>
      <c r="Q535">
        <v>44335</v>
      </c>
      <c r="R535" t="str">
        <v>SI</v>
      </c>
    </row>
    <row r="536" spans="1:18" x14ac:dyDescent="0.25">
      <c r="A536" s="2">
        <v>535</v>
      </c>
      <c r="B536" t="s">
        <v>14</v>
      </c>
      <c r="C536" t="s">
        <v>24</v>
      </c>
      <c r="D536" t="s">
        <v>9</v>
      </c>
      <c r="E536" s="3">
        <v>8500</v>
      </c>
      <c r="F536" s="4">
        <v>43722</v>
      </c>
      <c r="G536" s="2" t="s">
        <v>26</v>
      </c>
      <c r="L536">
        <v>531</v>
      </c>
      <c r="M536" t="str">
        <v>FORMACION</v>
      </c>
      <c r="N536" t="str">
        <v>CLIENTE-0008</v>
      </c>
      <c r="O536" t="str">
        <v>ALICANTE</v>
      </c>
      <c r="P536">
        <v>950</v>
      </c>
      <c r="Q536">
        <v>43612</v>
      </c>
      <c r="R536" t="str">
        <v>SI</v>
      </c>
    </row>
    <row r="537" spans="1:18" x14ac:dyDescent="0.25">
      <c r="A537" s="2">
        <v>536</v>
      </c>
      <c r="B537" t="s">
        <v>16</v>
      </c>
      <c r="C537" t="s">
        <v>25</v>
      </c>
      <c r="D537" t="s">
        <v>9</v>
      </c>
      <c r="E537" s="3">
        <v>1200</v>
      </c>
      <c r="F537" s="4">
        <v>43856</v>
      </c>
      <c r="G537" s="2" t="s">
        <v>26</v>
      </c>
      <c r="L537">
        <v>563</v>
      </c>
      <c r="M537" t="str">
        <v>EQUIPOS</v>
      </c>
      <c r="N537" t="str">
        <v>CLIENTE-0008</v>
      </c>
      <c r="O537" t="str">
        <v>ALICANTE</v>
      </c>
      <c r="P537">
        <v>950</v>
      </c>
      <c r="Q537">
        <v>44278</v>
      </c>
      <c r="R537" t="str">
        <v>SI</v>
      </c>
    </row>
    <row r="538" spans="1:18" x14ac:dyDescent="0.25">
      <c r="A538" s="2">
        <v>537</v>
      </c>
      <c r="B538" t="s">
        <v>18</v>
      </c>
      <c r="C538" t="s">
        <v>27</v>
      </c>
      <c r="D538" t="s">
        <v>22</v>
      </c>
      <c r="E538" s="3">
        <v>300</v>
      </c>
      <c r="F538" s="4">
        <v>43725</v>
      </c>
      <c r="G538" s="2" t="s">
        <v>26</v>
      </c>
      <c r="L538">
        <v>565</v>
      </c>
      <c r="M538" t="str">
        <v>FORMACION</v>
      </c>
      <c r="N538" t="str">
        <v>CLIENTE-0010</v>
      </c>
      <c r="O538" t="str">
        <v>MADRID</v>
      </c>
      <c r="P538">
        <v>950</v>
      </c>
      <c r="Q538">
        <v>44448</v>
      </c>
      <c r="R538" t="str">
        <v>SI</v>
      </c>
    </row>
    <row r="539" spans="1:18" x14ac:dyDescent="0.25">
      <c r="A539" s="2">
        <v>538</v>
      </c>
      <c r="B539" t="s">
        <v>20</v>
      </c>
      <c r="C539" t="s">
        <v>19</v>
      </c>
      <c r="D539" t="s">
        <v>9</v>
      </c>
      <c r="E539" s="3">
        <v>200</v>
      </c>
      <c r="F539" s="4">
        <v>43691</v>
      </c>
      <c r="G539" s="2" t="s">
        <v>26</v>
      </c>
      <c r="L539">
        <v>575</v>
      </c>
      <c r="M539" t="str">
        <v>EQUIPOS</v>
      </c>
      <c r="N539" t="str">
        <v>CLIENTE-0010</v>
      </c>
      <c r="O539" t="str">
        <v>MADRID</v>
      </c>
      <c r="P539">
        <v>950</v>
      </c>
      <c r="Q539">
        <v>44153</v>
      </c>
      <c r="R539" t="str">
        <v>NO</v>
      </c>
    </row>
    <row r="540" spans="1:18" x14ac:dyDescent="0.25">
      <c r="A540" s="2">
        <v>539</v>
      </c>
      <c r="B540" t="s">
        <v>7</v>
      </c>
      <c r="C540" t="s">
        <v>8</v>
      </c>
      <c r="D540" t="s">
        <v>9</v>
      </c>
      <c r="E540" s="3">
        <v>150</v>
      </c>
      <c r="F540" s="4">
        <v>44149</v>
      </c>
      <c r="G540" s="2" t="s">
        <v>26</v>
      </c>
      <c r="L540">
        <v>577</v>
      </c>
      <c r="M540" t="str">
        <v>FORMACION</v>
      </c>
      <c r="N540" t="str">
        <v>CLIENTE-0002</v>
      </c>
      <c r="O540" t="str">
        <v>ALICANTE</v>
      </c>
      <c r="P540">
        <v>950</v>
      </c>
      <c r="Q540">
        <v>44164</v>
      </c>
      <c r="R540" t="str">
        <v>NO</v>
      </c>
    </row>
    <row r="541" spans="1:18" x14ac:dyDescent="0.25">
      <c r="A541" s="2">
        <v>540</v>
      </c>
      <c r="B541" t="s">
        <v>11</v>
      </c>
      <c r="C541" t="s">
        <v>12</v>
      </c>
      <c r="D541" t="s">
        <v>13</v>
      </c>
      <c r="E541" s="3">
        <v>120</v>
      </c>
      <c r="F541" s="4">
        <v>43577</v>
      </c>
      <c r="G541" s="2" t="s">
        <v>10</v>
      </c>
      <c r="L541">
        <v>598</v>
      </c>
      <c r="M541" t="str">
        <v>EQUIPOS</v>
      </c>
      <c r="N541" t="str">
        <v>CLIENTE-0003</v>
      </c>
      <c r="O541" t="str">
        <v>MADRID</v>
      </c>
      <c r="P541">
        <v>950</v>
      </c>
      <c r="Q541">
        <v>44347</v>
      </c>
      <c r="R541" t="str">
        <v>SI</v>
      </c>
    </row>
    <row r="542" spans="1:18" x14ac:dyDescent="0.25">
      <c r="A542" s="2">
        <v>541</v>
      </c>
      <c r="B542" t="s">
        <v>14</v>
      </c>
      <c r="C542" t="s">
        <v>15</v>
      </c>
      <c r="D542" t="s">
        <v>13</v>
      </c>
      <c r="E542" s="3">
        <v>300</v>
      </c>
      <c r="F542" s="4">
        <v>43853</v>
      </c>
      <c r="G542" s="2" t="s">
        <v>10</v>
      </c>
      <c r="L542">
        <v>600</v>
      </c>
      <c r="M542" t="str">
        <v>FORMACION</v>
      </c>
      <c r="N542" t="str">
        <v>CLIENTE-0005</v>
      </c>
      <c r="O542" t="str">
        <v>BARCELONA</v>
      </c>
      <c r="P542">
        <v>950</v>
      </c>
      <c r="Q542">
        <v>44258</v>
      </c>
      <c r="R542" t="str">
        <v>SI</v>
      </c>
    </row>
    <row r="543" spans="1:18" x14ac:dyDescent="0.25">
      <c r="A543" s="2">
        <v>542</v>
      </c>
      <c r="B543" t="s">
        <v>16</v>
      </c>
      <c r="C543" t="s">
        <v>17</v>
      </c>
      <c r="D543" t="s">
        <v>13</v>
      </c>
      <c r="E543" s="3">
        <v>350</v>
      </c>
      <c r="F543" s="4">
        <v>44005</v>
      </c>
      <c r="G543" s="2" t="s">
        <v>10</v>
      </c>
      <c r="L543">
        <v>632</v>
      </c>
      <c r="M543" t="str">
        <v>CONSULTORIA</v>
      </c>
      <c r="N543" t="str">
        <v>CLIENTE-0005</v>
      </c>
      <c r="O543" t="str">
        <v>BARCELONA</v>
      </c>
      <c r="P543">
        <v>950</v>
      </c>
      <c r="Q543">
        <v>43853</v>
      </c>
      <c r="R543" t="str">
        <v>SI</v>
      </c>
    </row>
    <row r="544" spans="1:18" x14ac:dyDescent="0.25">
      <c r="A544" s="2">
        <v>543</v>
      </c>
      <c r="B544" t="s">
        <v>18</v>
      </c>
      <c r="C544" t="s">
        <v>21</v>
      </c>
      <c r="D544" t="s">
        <v>22</v>
      </c>
      <c r="E544" s="3">
        <v>300</v>
      </c>
      <c r="F544" s="4">
        <v>44090</v>
      </c>
      <c r="G544" s="2" t="s">
        <v>10</v>
      </c>
      <c r="L544">
        <v>642</v>
      </c>
      <c r="M544" t="str">
        <v>PROGRAMA</v>
      </c>
      <c r="N544" t="str">
        <v>CLIENTE-0002</v>
      </c>
      <c r="O544" t="str">
        <v>ALICANTE</v>
      </c>
      <c r="P544">
        <v>950</v>
      </c>
      <c r="Q544">
        <v>43573</v>
      </c>
      <c r="R544" t="str">
        <v>SI</v>
      </c>
    </row>
    <row r="545" spans="1:18" x14ac:dyDescent="0.25">
      <c r="A545" s="2">
        <v>544</v>
      </c>
      <c r="B545" t="s">
        <v>20</v>
      </c>
      <c r="C545" t="s">
        <v>23</v>
      </c>
      <c r="D545" t="s">
        <v>22</v>
      </c>
      <c r="E545" s="3">
        <v>120</v>
      </c>
      <c r="F545" s="4">
        <v>44147</v>
      </c>
      <c r="G545" s="2" t="s">
        <v>10</v>
      </c>
      <c r="L545">
        <v>644</v>
      </c>
      <c r="M545" t="str">
        <v>CONSULTORIA</v>
      </c>
      <c r="N545" t="str">
        <v>CLIENTE-0004</v>
      </c>
      <c r="O545" t="str">
        <v>MADRID</v>
      </c>
      <c r="P545">
        <v>950</v>
      </c>
      <c r="Q545">
        <v>44320</v>
      </c>
      <c r="R545" t="str">
        <v>NO</v>
      </c>
    </row>
    <row r="546" spans="1:18" x14ac:dyDescent="0.25">
      <c r="A546" s="2">
        <v>545</v>
      </c>
      <c r="B546" t="s">
        <v>7</v>
      </c>
      <c r="C546" t="s">
        <v>24</v>
      </c>
      <c r="D546" t="s">
        <v>9</v>
      </c>
      <c r="E546" s="3">
        <v>150</v>
      </c>
      <c r="F546" s="4">
        <v>44155</v>
      </c>
      <c r="G546" s="2" t="s">
        <v>10</v>
      </c>
      <c r="L546">
        <v>684</v>
      </c>
      <c r="M546" t="str">
        <v>DESARROLLO</v>
      </c>
      <c r="N546" t="str">
        <v>CLIENTE-0005</v>
      </c>
      <c r="O546" t="str">
        <v>BARCELONA</v>
      </c>
      <c r="P546">
        <v>950</v>
      </c>
      <c r="Q546">
        <v>43923</v>
      </c>
      <c r="R546" t="str">
        <v>SI</v>
      </c>
    </row>
    <row r="547" spans="1:18" x14ac:dyDescent="0.25">
      <c r="A547" s="2">
        <v>546</v>
      </c>
      <c r="B547" t="s">
        <v>11</v>
      </c>
      <c r="C547" t="s">
        <v>8</v>
      </c>
      <c r="D547" t="s">
        <v>9</v>
      </c>
      <c r="E547" s="3">
        <v>8500</v>
      </c>
      <c r="F547" s="4">
        <v>44182</v>
      </c>
      <c r="G547" s="2" t="s">
        <v>10</v>
      </c>
      <c r="L547">
        <v>686</v>
      </c>
      <c r="M547" t="str">
        <v>EQUIPOS</v>
      </c>
      <c r="N547" t="str">
        <v>CLIENTE-0006</v>
      </c>
      <c r="O547" t="str">
        <v>BARCELONA</v>
      </c>
      <c r="P547">
        <v>950</v>
      </c>
      <c r="Q547">
        <v>43660</v>
      </c>
      <c r="R547" t="str">
        <v>SI</v>
      </c>
    </row>
    <row r="548" spans="1:18" x14ac:dyDescent="0.25">
      <c r="A548" s="2">
        <v>547</v>
      </c>
      <c r="B548" t="s">
        <v>14</v>
      </c>
      <c r="C548" t="s">
        <v>12</v>
      </c>
      <c r="D548" t="s">
        <v>13</v>
      </c>
      <c r="E548" s="3">
        <v>1200</v>
      </c>
      <c r="F548" s="4">
        <v>44333</v>
      </c>
      <c r="G548" s="2" t="s">
        <v>26</v>
      </c>
      <c r="L548">
        <v>718</v>
      </c>
      <c r="M548" t="str">
        <v>DESARROLLO</v>
      </c>
      <c r="N548" t="str">
        <v>CLIENTE-0006</v>
      </c>
      <c r="O548" t="str">
        <v>BARCELONA</v>
      </c>
      <c r="P548">
        <v>950</v>
      </c>
      <c r="Q548">
        <v>44383</v>
      </c>
      <c r="R548" t="str">
        <v>NO</v>
      </c>
    </row>
    <row r="549" spans="1:18" x14ac:dyDescent="0.25">
      <c r="A549" s="2">
        <v>548</v>
      </c>
      <c r="B549" t="s">
        <v>16</v>
      </c>
      <c r="C549" t="s">
        <v>12</v>
      </c>
      <c r="D549" t="s">
        <v>13</v>
      </c>
      <c r="E549" s="3">
        <v>300</v>
      </c>
      <c r="F549" s="4">
        <v>43829</v>
      </c>
      <c r="G549" s="2" t="s">
        <v>26</v>
      </c>
      <c r="L549">
        <v>720</v>
      </c>
      <c r="M549" t="str">
        <v>EQUIPOS</v>
      </c>
      <c r="N549" t="str">
        <v>CLIENTE-0008</v>
      </c>
      <c r="O549" t="str">
        <v>ALICANTE</v>
      </c>
      <c r="P549">
        <v>950</v>
      </c>
      <c r="Q549">
        <v>43801</v>
      </c>
      <c r="R549" t="str">
        <v>SI</v>
      </c>
    </row>
    <row r="550" spans="1:18" x14ac:dyDescent="0.25">
      <c r="A550" s="2">
        <v>549</v>
      </c>
      <c r="B550" t="s">
        <v>18</v>
      </c>
      <c r="C550" t="s">
        <v>15</v>
      </c>
      <c r="D550" t="s">
        <v>13</v>
      </c>
      <c r="E550" s="3">
        <v>200</v>
      </c>
      <c r="F550" s="4">
        <v>44534</v>
      </c>
      <c r="G550" s="2" t="s">
        <v>26</v>
      </c>
      <c r="L550">
        <v>749</v>
      </c>
      <c r="M550" t="str">
        <v>EQUIPOS</v>
      </c>
      <c r="N550" t="str">
        <v>CLIENTE-0008</v>
      </c>
      <c r="O550" t="str">
        <v>ALICANTE</v>
      </c>
      <c r="P550">
        <v>950</v>
      </c>
      <c r="Q550">
        <v>44490</v>
      </c>
      <c r="R550" t="str">
        <v>SI</v>
      </c>
    </row>
    <row r="551" spans="1:18" x14ac:dyDescent="0.25">
      <c r="A551" s="2">
        <v>550</v>
      </c>
      <c r="B551" t="s">
        <v>20</v>
      </c>
      <c r="C551" t="s">
        <v>17</v>
      </c>
      <c r="D551" t="s">
        <v>13</v>
      </c>
      <c r="E551" s="3">
        <v>150</v>
      </c>
      <c r="F551" s="4">
        <v>44178</v>
      </c>
      <c r="G551" s="2" t="s">
        <v>26</v>
      </c>
      <c r="L551">
        <v>751</v>
      </c>
      <c r="M551" t="str">
        <v>FORMACION</v>
      </c>
      <c r="N551" t="str">
        <v>CLIENTE-0010</v>
      </c>
      <c r="O551" t="str">
        <v>MADRID</v>
      </c>
      <c r="P551">
        <v>950</v>
      </c>
      <c r="Q551">
        <v>44475</v>
      </c>
      <c r="R551" t="str">
        <v>SI</v>
      </c>
    </row>
    <row r="552" spans="1:18" x14ac:dyDescent="0.25">
      <c r="A552" s="2">
        <v>551</v>
      </c>
      <c r="B552" t="s">
        <v>7</v>
      </c>
      <c r="C552" t="s">
        <v>21</v>
      </c>
      <c r="D552" t="s">
        <v>22</v>
      </c>
      <c r="E552" s="3">
        <v>120</v>
      </c>
      <c r="F552" s="4">
        <v>44555</v>
      </c>
      <c r="G552" s="2" t="s">
        <v>26</v>
      </c>
      <c r="L552">
        <v>1</v>
      </c>
      <c r="M552" t="str">
        <v>DESARROLLO</v>
      </c>
      <c r="N552" t="str">
        <v>CLIENTE-0004</v>
      </c>
      <c r="O552" t="str">
        <v>MADRID</v>
      </c>
      <c r="P552">
        <v>1200</v>
      </c>
      <c r="Q552">
        <v>43677</v>
      </c>
      <c r="R552" t="str">
        <v>SI</v>
      </c>
    </row>
    <row r="553" spans="1:18" x14ac:dyDescent="0.25">
      <c r="A553" s="2">
        <v>552</v>
      </c>
      <c r="B553" t="s">
        <v>11</v>
      </c>
      <c r="C553" t="s">
        <v>23</v>
      </c>
      <c r="D553" t="s">
        <v>22</v>
      </c>
      <c r="E553" s="3">
        <v>300</v>
      </c>
      <c r="F553" s="4">
        <v>43749</v>
      </c>
      <c r="G553" s="2" t="s">
        <v>26</v>
      </c>
      <c r="L553">
        <v>14</v>
      </c>
      <c r="M553" t="str">
        <v>PROYECTO</v>
      </c>
      <c r="N553" t="str">
        <v>CLIENTE-0001</v>
      </c>
      <c r="O553" t="str">
        <v>MADRID</v>
      </c>
      <c r="P553">
        <v>1200</v>
      </c>
      <c r="Q553">
        <v>44257</v>
      </c>
      <c r="R553" t="str">
        <v>SI</v>
      </c>
    </row>
    <row r="554" spans="1:18" x14ac:dyDescent="0.25">
      <c r="A554" s="2">
        <v>553</v>
      </c>
      <c r="B554" t="s">
        <v>14</v>
      </c>
      <c r="C554" t="s">
        <v>24</v>
      </c>
      <c r="D554" t="s">
        <v>9</v>
      </c>
      <c r="E554" s="3">
        <v>350</v>
      </c>
      <c r="F554" s="4">
        <v>43812</v>
      </c>
      <c r="G554" s="2" t="s">
        <v>10</v>
      </c>
      <c r="L554">
        <v>24</v>
      </c>
      <c r="M554" t="str">
        <v>PROYECTO</v>
      </c>
      <c r="N554" t="str">
        <v>CLIENTE-0009</v>
      </c>
      <c r="O554" t="str">
        <v>ALICANTE</v>
      </c>
      <c r="P554">
        <v>1200</v>
      </c>
      <c r="Q554">
        <v>44149</v>
      </c>
      <c r="R554" t="str">
        <v>SI</v>
      </c>
    </row>
    <row r="555" spans="1:18" x14ac:dyDescent="0.25">
      <c r="A555" s="2">
        <v>554</v>
      </c>
      <c r="B555" t="s">
        <v>16</v>
      </c>
      <c r="C555" t="s">
        <v>25</v>
      </c>
      <c r="D555" t="s">
        <v>9</v>
      </c>
      <c r="E555" s="3">
        <v>300</v>
      </c>
      <c r="F555" s="4">
        <v>43959</v>
      </c>
      <c r="G555" s="2" t="s">
        <v>10</v>
      </c>
      <c r="L555">
        <v>37</v>
      </c>
      <c r="M555" t="str">
        <v>PROYECTO</v>
      </c>
      <c r="N555" t="str">
        <v>CLIENTE-0002</v>
      </c>
      <c r="O555" t="str">
        <v>ALICANTE</v>
      </c>
      <c r="P555">
        <v>1200</v>
      </c>
      <c r="Q555">
        <v>44489</v>
      </c>
      <c r="R555" t="str">
        <v>SI</v>
      </c>
    </row>
    <row r="556" spans="1:18" x14ac:dyDescent="0.25">
      <c r="A556" s="2">
        <v>555</v>
      </c>
      <c r="B556" t="s">
        <v>18</v>
      </c>
      <c r="C556" t="s">
        <v>24</v>
      </c>
      <c r="D556" t="s">
        <v>9</v>
      </c>
      <c r="E556" s="3">
        <v>120</v>
      </c>
      <c r="F556" s="4">
        <v>44304</v>
      </c>
      <c r="G556" s="2" t="s">
        <v>10</v>
      </c>
      <c r="L556">
        <v>48</v>
      </c>
      <c r="M556" t="str">
        <v>DESARROLLO</v>
      </c>
      <c r="N556" t="str">
        <v>CLIENTE-0006</v>
      </c>
      <c r="O556" t="str">
        <v>BARCELONA</v>
      </c>
      <c r="P556">
        <v>1200</v>
      </c>
      <c r="Q556">
        <v>44423</v>
      </c>
      <c r="R556" t="str">
        <v>NO</v>
      </c>
    </row>
    <row r="557" spans="1:18" x14ac:dyDescent="0.25">
      <c r="A557" s="2">
        <v>556</v>
      </c>
      <c r="B557" t="s">
        <v>20</v>
      </c>
      <c r="C557" t="s">
        <v>25</v>
      </c>
      <c r="D557" t="s">
        <v>9</v>
      </c>
      <c r="E557" s="3">
        <v>150</v>
      </c>
      <c r="F557" s="4">
        <v>43720</v>
      </c>
      <c r="G557" s="2" t="s">
        <v>10</v>
      </c>
      <c r="L557">
        <v>58</v>
      </c>
      <c r="M557" t="str">
        <v>FORMACION</v>
      </c>
      <c r="N557" t="str">
        <v>CLIENTE-0010</v>
      </c>
      <c r="O557" t="str">
        <v>MADRID</v>
      </c>
      <c r="P557">
        <v>1200</v>
      </c>
      <c r="Q557">
        <v>43660</v>
      </c>
      <c r="R557" t="str">
        <v>NO</v>
      </c>
    </row>
    <row r="558" spans="1:18" x14ac:dyDescent="0.25">
      <c r="A558" s="2">
        <v>557</v>
      </c>
      <c r="B558" t="s">
        <v>7</v>
      </c>
      <c r="C558" t="s">
        <v>27</v>
      </c>
      <c r="D558" t="s">
        <v>22</v>
      </c>
      <c r="E558" s="3">
        <v>1200</v>
      </c>
      <c r="F558" s="4">
        <v>43774</v>
      </c>
      <c r="G558" s="2" t="s">
        <v>10</v>
      </c>
      <c r="L558">
        <v>70</v>
      </c>
      <c r="M558" t="str">
        <v>DESARROLLO</v>
      </c>
      <c r="N558" t="str">
        <v>CLIENTE-0010</v>
      </c>
      <c r="O558" t="str">
        <v>MADRID</v>
      </c>
      <c r="P558">
        <v>1200</v>
      </c>
      <c r="Q558">
        <v>43584</v>
      </c>
      <c r="R558" t="str">
        <v>SI</v>
      </c>
    </row>
    <row r="559" spans="1:18" x14ac:dyDescent="0.25">
      <c r="A559" s="2">
        <v>558</v>
      </c>
      <c r="B559" t="s">
        <v>11</v>
      </c>
      <c r="C559" t="s">
        <v>19</v>
      </c>
      <c r="D559" t="s">
        <v>9</v>
      </c>
      <c r="E559" s="3">
        <v>800</v>
      </c>
      <c r="F559" s="4">
        <v>43854</v>
      </c>
      <c r="G559" s="2" t="s">
        <v>10</v>
      </c>
      <c r="L559">
        <v>83</v>
      </c>
      <c r="M559" t="str">
        <v>PROYECTO</v>
      </c>
      <c r="N559" t="str">
        <v>CLIENTE-0003</v>
      </c>
      <c r="O559" t="str">
        <v>MADRID</v>
      </c>
      <c r="P559">
        <v>1200</v>
      </c>
      <c r="Q559">
        <v>44191</v>
      </c>
      <c r="R559" t="str">
        <v>SI</v>
      </c>
    </row>
    <row r="560" spans="1:18" x14ac:dyDescent="0.25">
      <c r="A560" s="2">
        <v>559</v>
      </c>
      <c r="B560" t="s">
        <v>14</v>
      </c>
      <c r="C560" t="s">
        <v>8</v>
      </c>
      <c r="D560" t="s">
        <v>9</v>
      </c>
      <c r="E560" s="3">
        <v>750</v>
      </c>
      <c r="F560" s="4">
        <v>44403</v>
      </c>
      <c r="G560" s="2" t="s">
        <v>10</v>
      </c>
      <c r="L560">
        <v>93</v>
      </c>
      <c r="M560" t="str">
        <v>FORMACION</v>
      </c>
      <c r="N560" t="str">
        <v>CLIENTE-0006</v>
      </c>
      <c r="O560" t="str">
        <v>BARCELONA</v>
      </c>
      <c r="P560">
        <v>1200</v>
      </c>
      <c r="Q560">
        <v>44020</v>
      </c>
      <c r="R560" t="str">
        <v>SI</v>
      </c>
    </row>
    <row r="561" spans="1:18" x14ac:dyDescent="0.25">
      <c r="A561" s="2">
        <v>560</v>
      </c>
      <c r="B561" t="s">
        <v>20</v>
      </c>
      <c r="C561" t="s">
        <v>12</v>
      </c>
      <c r="D561" t="s">
        <v>13</v>
      </c>
      <c r="E561" s="3">
        <v>4500</v>
      </c>
      <c r="F561" s="4">
        <v>44062</v>
      </c>
      <c r="G561" s="2" t="s">
        <v>10</v>
      </c>
      <c r="L561">
        <v>106</v>
      </c>
      <c r="M561" t="str">
        <v>PROYECTO</v>
      </c>
      <c r="N561" t="str">
        <v>CLIENTE-0001</v>
      </c>
      <c r="O561" t="str">
        <v>MADRID</v>
      </c>
      <c r="P561">
        <v>1200</v>
      </c>
      <c r="Q561">
        <v>43891</v>
      </c>
      <c r="R561" t="str">
        <v>SI</v>
      </c>
    </row>
    <row r="562" spans="1:18" x14ac:dyDescent="0.25">
      <c r="A562" s="2">
        <v>561</v>
      </c>
      <c r="B562" t="s">
        <v>7</v>
      </c>
      <c r="C562" t="s">
        <v>15</v>
      </c>
      <c r="D562" t="s">
        <v>13</v>
      </c>
      <c r="E562" s="3">
        <v>500</v>
      </c>
      <c r="F562" s="4">
        <v>43641</v>
      </c>
      <c r="G562" s="2" t="s">
        <v>10</v>
      </c>
      <c r="L562">
        <v>117</v>
      </c>
      <c r="M562" t="str">
        <v>PROGRAMA</v>
      </c>
      <c r="N562" t="str">
        <v>CLIENTE-0005</v>
      </c>
      <c r="O562" t="str">
        <v>BARCELONA</v>
      </c>
      <c r="P562">
        <v>1200</v>
      </c>
      <c r="Q562">
        <v>44012</v>
      </c>
      <c r="R562" t="str">
        <v>NO</v>
      </c>
    </row>
    <row r="563" spans="1:18" x14ac:dyDescent="0.25">
      <c r="A563" s="2">
        <v>562</v>
      </c>
      <c r="B563" t="s">
        <v>11</v>
      </c>
      <c r="C563" t="s">
        <v>17</v>
      </c>
      <c r="D563" t="s">
        <v>13</v>
      </c>
      <c r="E563" s="3">
        <v>750</v>
      </c>
      <c r="F563" s="4">
        <v>43701</v>
      </c>
      <c r="G563" s="2" t="s">
        <v>10</v>
      </c>
      <c r="L563">
        <v>127</v>
      </c>
      <c r="M563" t="str">
        <v>PROGRAMA</v>
      </c>
      <c r="N563" t="str">
        <v>CLIENTE-0002</v>
      </c>
      <c r="O563" t="str">
        <v>ALICANTE</v>
      </c>
      <c r="P563">
        <v>1200</v>
      </c>
      <c r="Q563">
        <v>43888</v>
      </c>
      <c r="R563" t="str">
        <v>SI</v>
      </c>
    </row>
    <row r="564" spans="1:18" x14ac:dyDescent="0.25">
      <c r="A564" s="2">
        <v>563</v>
      </c>
      <c r="B564" t="s">
        <v>14</v>
      </c>
      <c r="C564" t="s">
        <v>21</v>
      </c>
      <c r="D564" t="s">
        <v>22</v>
      </c>
      <c r="E564" s="3">
        <v>950</v>
      </c>
      <c r="F564" s="4">
        <v>44278</v>
      </c>
      <c r="G564" s="2" t="s">
        <v>10</v>
      </c>
      <c r="L564">
        <v>139</v>
      </c>
      <c r="M564" t="str">
        <v>PROGRAMA</v>
      </c>
      <c r="N564" t="str">
        <v>CLIENTE-0007</v>
      </c>
      <c r="O564" t="str">
        <v>BARCELONA</v>
      </c>
      <c r="P564">
        <v>1200</v>
      </c>
      <c r="Q564">
        <v>44516</v>
      </c>
      <c r="R564" t="str">
        <v>NO</v>
      </c>
    </row>
    <row r="565" spans="1:18" x14ac:dyDescent="0.25">
      <c r="A565" s="2">
        <v>564</v>
      </c>
      <c r="B565" t="s">
        <v>16</v>
      </c>
      <c r="C565" t="s">
        <v>23</v>
      </c>
      <c r="D565" t="s">
        <v>22</v>
      </c>
      <c r="E565" s="3">
        <v>680</v>
      </c>
      <c r="F565" s="4">
        <v>44471</v>
      </c>
      <c r="G565" s="2" t="s">
        <v>10</v>
      </c>
      <c r="L565">
        <v>152</v>
      </c>
      <c r="M565" t="str">
        <v>FORMACION</v>
      </c>
      <c r="N565" t="str">
        <v>CLIENTE-0002</v>
      </c>
      <c r="O565" t="str">
        <v>ALICANTE</v>
      </c>
      <c r="P565">
        <v>1200</v>
      </c>
      <c r="Q565">
        <v>43544</v>
      </c>
      <c r="R565" t="str">
        <v>SI</v>
      </c>
    </row>
    <row r="566" spans="1:18" x14ac:dyDescent="0.25">
      <c r="A566" s="2">
        <v>565</v>
      </c>
      <c r="B566" t="s">
        <v>18</v>
      </c>
      <c r="C566" t="s">
        <v>24</v>
      </c>
      <c r="D566" t="s">
        <v>9</v>
      </c>
      <c r="E566" s="3">
        <v>950</v>
      </c>
      <c r="F566" s="4">
        <v>44448</v>
      </c>
      <c r="G566" s="2" t="s">
        <v>10</v>
      </c>
      <c r="L566">
        <v>162</v>
      </c>
      <c r="M566" t="str">
        <v>FORMACION</v>
      </c>
      <c r="N566" t="str">
        <v>CLIENTE-0005</v>
      </c>
      <c r="O566" t="str">
        <v>BARCELONA</v>
      </c>
      <c r="P566">
        <v>1200</v>
      </c>
      <c r="Q566">
        <v>44326</v>
      </c>
      <c r="R566" t="str">
        <v>SI</v>
      </c>
    </row>
    <row r="567" spans="1:18" x14ac:dyDescent="0.25">
      <c r="A567" s="2">
        <v>566</v>
      </c>
      <c r="B567" t="s">
        <v>20</v>
      </c>
      <c r="C567" t="s">
        <v>8</v>
      </c>
      <c r="D567" t="s">
        <v>9</v>
      </c>
      <c r="E567" s="3">
        <v>1500</v>
      </c>
      <c r="F567" s="4">
        <v>43646</v>
      </c>
      <c r="G567" s="2" t="s">
        <v>10</v>
      </c>
      <c r="L567">
        <v>175</v>
      </c>
      <c r="M567" t="str">
        <v>CONSULTORIA</v>
      </c>
      <c r="N567" t="str">
        <v>CLIENTE-0005</v>
      </c>
      <c r="O567" t="str">
        <v>BARCELONA</v>
      </c>
      <c r="P567">
        <v>1200</v>
      </c>
      <c r="Q567">
        <v>44145</v>
      </c>
      <c r="R567" t="str">
        <v>SI</v>
      </c>
    </row>
    <row r="568" spans="1:18" x14ac:dyDescent="0.25">
      <c r="A568" s="2">
        <v>567</v>
      </c>
      <c r="B568" t="s">
        <v>7</v>
      </c>
      <c r="C568" t="s">
        <v>12</v>
      </c>
      <c r="D568" t="s">
        <v>13</v>
      </c>
      <c r="E568" s="3">
        <v>5000</v>
      </c>
      <c r="F568" s="4">
        <v>43767</v>
      </c>
      <c r="G568" s="2" t="s">
        <v>10</v>
      </c>
      <c r="L568">
        <v>186</v>
      </c>
      <c r="M568" t="str">
        <v>PROGRAMA</v>
      </c>
      <c r="N568" t="str">
        <v>CLIENTE-0008</v>
      </c>
      <c r="O568" t="str">
        <v>ALICANTE</v>
      </c>
      <c r="P568">
        <v>1200</v>
      </c>
      <c r="Q568">
        <v>44351</v>
      </c>
      <c r="R568" t="str">
        <v>NO</v>
      </c>
    </row>
    <row r="569" spans="1:18" x14ac:dyDescent="0.25">
      <c r="A569" s="2">
        <v>568</v>
      </c>
      <c r="B569" t="s">
        <v>11</v>
      </c>
      <c r="C569" t="s">
        <v>12</v>
      </c>
      <c r="D569" t="s">
        <v>13</v>
      </c>
      <c r="E569" s="3">
        <v>6500</v>
      </c>
      <c r="F569" s="4">
        <v>44031</v>
      </c>
      <c r="G569" s="2" t="s">
        <v>10</v>
      </c>
      <c r="L569">
        <v>196</v>
      </c>
      <c r="M569" t="str">
        <v>PROGRAMA</v>
      </c>
      <c r="N569" t="str">
        <v>CLIENTE-0006</v>
      </c>
      <c r="O569" t="str">
        <v>BARCELONA</v>
      </c>
      <c r="P569">
        <v>1200</v>
      </c>
      <c r="Q569">
        <v>43869</v>
      </c>
      <c r="R569" t="str">
        <v>SI</v>
      </c>
    </row>
    <row r="570" spans="1:18" x14ac:dyDescent="0.25">
      <c r="A570" s="2">
        <v>569</v>
      </c>
      <c r="B570" t="s">
        <v>14</v>
      </c>
      <c r="C570" t="s">
        <v>15</v>
      </c>
      <c r="D570" t="s">
        <v>13</v>
      </c>
      <c r="E570" s="3">
        <v>1200</v>
      </c>
      <c r="F570" s="4">
        <v>44416</v>
      </c>
      <c r="G570" s="2" t="s">
        <v>10</v>
      </c>
      <c r="L570">
        <v>208</v>
      </c>
      <c r="M570" t="str">
        <v>DESARROLLO</v>
      </c>
      <c r="N570" t="str">
        <v>CLIENTE-0010</v>
      </c>
      <c r="O570" t="str">
        <v>MADRID</v>
      </c>
      <c r="P570">
        <v>1200</v>
      </c>
      <c r="Q570">
        <v>43960</v>
      </c>
      <c r="R570" t="str">
        <v>SI</v>
      </c>
    </row>
    <row r="571" spans="1:18" x14ac:dyDescent="0.25">
      <c r="A571" s="2">
        <v>570</v>
      </c>
      <c r="B571" t="s">
        <v>16</v>
      </c>
      <c r="C571" t="s">
        <v>17</v>
      </c>
      <c r="D571" t="s">
        <v>13</v>
      </c>
      <c r="E571" s="3">
        <v>800</v>
      </c>
      <c r="F571" s="4">
        <v>43849</v>
      </c>
      <c r="G571" s="2" t="s">
        <v>10</v>
      </c>
      <c r="L571">
        <v>221</v>
      </c>
      <c r="M571" t="str">
        <v>PROGRAMA</v>
      </c>
      <c r="N571" t="str">
        <v>CLIENTE-0004</v>
      </c>
      <c r="O571" t="str">
        <v>MADRID</v>
      </c>
      <c r="P571">
        <v>1200</v>
      </c>
      <c r="Q571">
        <v>44418</v>
      </c>
      <c r="R571" t="str">
        <v>SI</v>
      </c>
    </row>
    <row r="572" spans="1:18" x14ac:dyDescent="0.25">
      <c r="A572" s="2">
        <v>571</v>
      </c>
      <c r="B572" t="s">
        <v>18</v>
      </c>
      <c r="C572" t="s">
        <v>21</v>
      </c>
      <c r="D572" t="s">
        <v>22</v>
      </c>
      <c r="E572" s="3">
        <v>750</v>
      </c>
      <c r="F572" s="4">
        <v>43547</v>
      </c>
      <c r="G572" s="2" t="s">
        <v>10</v>
      </c>
      <c r="L572">
        <v>231</v>
      </c>
      <c r="M572" t="str">
        <v>PROYECTO</v>
      </c>
      <c r="N572" t="str">
        <v>CLIENTE-0008</v>
      </c>
      <c r="O572" t="str">
        <v>ALICANTE</v>
      </c>
      <c r="P572">
        <v>1200</v>
      </c>
      <c r="Q572">
        <v>43959</v>
      </c>
      <c r="R572" t="str">
        <v>SI</v>
      </c>
    </row>
    <row r="573" spans="1:18" x14ac:dyDescent="0.25">
      <c r="A573" s="2">
        <v>572</v>
      </c>
      <c r="B573" t="s">
        <v>20</v>
      </c>
      <c r="C573" t="s">
        <v>23</v>
      </c>
      <c r="D573" t="s">
        <v>22</v>
      </c>
      <c r="E573" s="3">
        <v>4500</v>
      </c>
      <c r="F573" s="4">
        <v>44391</v>
      </c>
      <c r="G573" s="2" t="s">
        <v>10</v>
      </c>
      <c r="L573">
        <v>244</v>
      </c>
      <c r="M573" t="str">
        <v>EQUIPOS</v>
      </c>
      <c r="N573" t="str">
        <v>CLIENTE-0009</v>
      </c>
      <c r="O573" t="str">
        <v>ALICANTE</v>
      </c>
      <c r="P573">
        <v>1200</v>
      </c>
      <c r="Q573">
        <v>44481</v>
      </c>
      <c r="R573" t="str">
        <v>SI</v>
      </c>
    </row>
    <row r="574" spans="1:18" x14ac:dyDescent="0.25">
      <c r="A574" s="2">
        <v>573</v>
      </c>
      <c r="B574" t="s">
        <v>7</v>
      </c>
      <c r="C574" t="s">
        <v>24</v>
      </c>
      <c r="D574" t="s">
        <v>9</v>
      </c>
      <c r="E574" s="3">
        <v>500</v>
      </c>
      <c r="F574" s="4">
        <v>44089</v>
      </c>
      <c r="G574" s="2" t="s">
        <v>10</v>
      </c>
      <c r="L574">
        <v>255</v>
      </c>
      <c r="M574" t="str">
        <v>PROGRAMA</v>
      </c>
      <c r="N574" t="str">
        <v>CLIENTE-0010</v>
      </c>
      <c r="O574" t="str">
        <v>MADRID</v>
      </c>
      <c r="P574">
        <v>1200</v>
      </c>
      <c r="Q574">
        <v>44473</v>
      </c>
      <c r="R574" t="str">
        <v>NO</v>
      </c>
    </row>
    <row r="575" spans="1:18" x14ac:dyDescent="0.25">
      <c r="A575" s="2">
        <v>574</v>
      </c>
      <c r="B575" t="s">
        <v>11</v>
      </c>
      <c r="C575" t="s">
        <v>25</v>
      </c>
      <c r="D575" t="s">
        <v>9</v>
      </c>
      <c r="E575" s="3">
        <v>750</v>
      </c>
      <c r="F575" s="4">
        <v>43521</v>
      </c>
      <c r="G575" s="2" t="s">
        <v>26</v>
      </c>
      <c r="L575">
        <v>265</v>
      </c>
      <c r="M575" t="str">
        <v>DESARROLLO</v>
      </c>
      <c r="N575" t="str">
        <v>CLIENTE-0010</v>
      </c>
      <c r="O575" t="str">
        <v>MADRID</v>
      </c>
      <c r="P575">
        <v>1200</v>
      </c>
      <c r="Q575">
        <v>44483</v>
      </c>
      <c r="R575" t="str">
        <v>SI</v>
      </c>
    </row>
    <row r="576" spans="1:18" x14ac:dyDescent="0.25">
      <c r="A576" s="2">
        <v>575</v>
      </c>
      <c r="B576" t="s">
        <v>14</v>
      </c>
      <c r="C576" t="s">
        <v>24</v>
      </c>
      <c r="D576" t="s">
        <v>9</v>
      </c>
      <c r="E576" s="3">
        <v>950</v>
      </c>
      <c r="F576" s="4">
        <v>44153</v>
      </c>
      <c r="G576" s="2" t="s">
        <v>26</v>
      </c>
      <c r="L576">
        <v>287</v>
      </c>
      <c r="M576" t="str">
        <v>DESARROLLO</v>
      </c>
      <c r="N576" t="str">
        <v>CLIENTE-0010</v>
      </c>
      <c r="O576" t="str">
        <v>MADRID</v>
      </c>
      <c r="P576">
        <v>1200</v>
      </c>
      <c r="Q576">
        <v>44429</v>
      </c>
      <c r="R576" t="str">
        <v>SI</v>
      </c>
    </row>
    <row r="577" spans="1:18" x14ac:dyDescent="0.25">
      <c r="A577" s="2">
        <v>576</v>
      </c>
      <c r="B577" t="s">
        <v>16</v>
      </c>
      <c r="C577" t="s">
        <v>25</v>
      </c>
      <c r="D577" t="s">
        <v>9</v>
      </c>
      <c r="E577" s="3">
        <v>680</v>
      </c>
      <c r="F577" s="4">
        <v>44050</v>
      </c>
      <c r="G577" s="2" t="s">
        <v>26</v>
      </c>
      <c r="L577">
        <v>298</v>
      </c>
      <c r="M577" t="str">
        <v>EQUIPOS</v>
      </c>
      <c r="N577" t="str">
        <v>CLIENTE-0009</v>
      </c>
      <c r="O577" t="str">
        <v>ALICANTE</v>
      </c>
      <c r="P577">
        <v>1200</v>
      </c>
      <c r="Q577">
        <v>44122</v>
      </c>
      <c r="R577" t="str">
        <v>SI</v>
      </c>
    </row>
    <row r="578" spans="1:18" x14ac:dyDescent="0.25">
      <c r="A578" s="2">
        <v>577</v>
      </c>
      <c r="B578" t="s">
        <v>18</v>
      </c>
      <c r="C578" t="s">
        <v>27</v>
      </c>
      <c r="D578" t="s">
        <v>22</v>
      </c>
      <c r="E578" s="3">
        <v>950</v>
      </c>
      <c r="F578" s="4">
        <v>44164</v>
      </c>
      <c r="G578" s="2" t="s">
        <v>26</v>
      </c>
      <c r="L578">
        <v>308</v>
      </c>
      <c r="M578" t="str">
        <v>EQUIPOS</v>
      </c>
      <c r="N578" t="str">
        <v>CLIENTE-0001</v>
      </c>
      <c r="O578" t="str">
        <v>MADRID</v>
      </c>
      <c r="P578">
        <v>1200</v>
      </c>
      <c r="Q578">
        <v>43769</v>
      </c>
      <c r="R578" t="str">
        <v>NO</v>
      </c>
    </row>
    <row r="579" spans="1:18" x14ac:dyDescent="0.25">
      <c r="A579" s="2">
        <v>578</v>
      </c>
      <c r="B579" t="s">
        <v>20</v>
      </c>
      <c r="C579" t="s">
        <v>19</v>
      </c>
      <c r="D579" t="s">
        <v>9</v>
      </c>
      <c r="E579" s="3">
        <v>1500</v>
      </c>
      <c r="F579" s="4">
        <v>43700</v>
      </c>
      <c r="G579" s="2" t="s">
        <v>26</v>
      </c>
      <c r="L579">
        <v>320</v>
      </c>
      <c r="M579" t="str">
        <v>EQUIPOS</v>
      </c>
      <c r="N579" t="str">
        <v>CLIENTE-0004</v>
      </c>
      <c r="O579" t="str">
        <v>MADRID</v>
      </c>
      <c r="P579">
        <v>1200</v>
      </c>
      <c r="Q579">
        <v>44358</v>
      </c>
      <c r="R579" t="str">
        <v>NO</v>
      </c>
    </row>
    <row r="580" spans="1:18" x14ac:dyDescent="0.25">
      <c r="A580" s="2">
        <v>579</v>
      </c>
      <c r="B580" t="s">
        <v>7</v>
      </c>
      <c r="C580" t="s">
        <v>8</v>
      </c>
      <c r="D580" t="s">
        <v>9</v>
      </c>
      <c r="E580" s="3">
        <v>5000</v>
      </c>
      <c r="F580" s="4">
        <v>44254</v>
      </c>
      <c r="G580" s="2" t="s">
        <v>26</v>
      </c>
      <c r="L580">
        <v>333</v>
      </c>
      <c r="M580" t="str">
        <v>CONSULTORIA</v>
      </c>
      <c r="N580" t="str">
        <v>CLIENTE-0004</v>
      </c>
      <c r="O580" t="str">
        <v>MADRID</v>
      </c>
      <c r="P580">
        <v>1200</v>
      </c>
      <c r="Q580">
        <v>43879</v>
      </c>
      <c r="R580" t="str">
        <v>SI</v>
      </c>
    </row>
    <row r="581" spans="1:18" x14ac:dyDescent="0.25">
      <c r="A581" s="2">
        <v>580</v>
      </c>
      <c r="B581" t="s">
        <v>7</v>
      </c>
      <c r="C581" t="s">
        <v>12</v>
      </c>
      <c r="D581" t="s">
        <v>13</v>
      </c>
      <c r="E581" s="3">
        <v>6500</v>
      </c>
      <c r="F581" s="4">
        <v>43942</v>
      </c>
      <c r="G581" s="2" t="s">
        <v>26</v>
      </c>
      <c r="L581">
        <v>343</v>
      </c>
      <c r="M581" t="str">
        <v>PROGRAMA</v>
      </c>
      <c r="N581" t="str">
        <v>CLIENTE-0007</v>
      </c>
      <c r="O581" t="str">
        <v>BARCELONA</v>
      </c>
      <c r="P581">
        <v>1200</v>
      </c>
      <c r="Q581">
        <v>43881</v>
      </c>
      <c r="R581" t="str">
        <v>SI</v>
      </c>
    </row>
    <row r="582" spans="1:18" x14ac:dyDescent="0.25">
      <c r="A582" s="2">
        <v>581</v>
      </c>
      <c r="B582" t="s">
        <v>11</v>
      </c>
      <c r="C582" t="s">
        <v>15</v>
      </c>
      <c r="D582" t="s">
        <v>13</v>
      </c>
      <c r="E582" s="3">
        <v>8500</v>
      </c>
      <c r="F582" s="4">
        <v>44043</v>
      </c>
      <c r="G582" s="2" t="s">
        <v>10</v>
      </c>
      <c r="L582">
        <v>356</v>
      </c>
      <c r="M582" t="str">
        <v>CONSULTORIA</v>
      </c>
      <c r="N582" t="str">
        <v>CLIENTE-0002</v>
      </c>
      <c r="O582" t="str">
        <v>ALICANTE</v>
      </c>
      <c r="P582">
        <v>1200</v>
      </c>
      <c r="Q582">
        <v>44290</v>
      </c>
      <c r="R582" t="str">
        <v>SI</v>
      </c>
    </row>
    <row r="583" spans="1:18" x14ac:dyDescent="0.25">
      <c r="A583" s="2">
        <v>582</v>
      </c>
      <c r="B583" t="s">
        <v>14</v>
      </c>
      <c r="C583" t="s">
        <v>17</v>
      </c>
      <c r="D583" t="s">
        <v>13</v>
      </c>
      <c r="E583" s="3">
        <v>1200</v>
      </c>
      <c r="F583" s="4">
        <v>44387</v>
      </c>
      <c r="G583" s="2" t="s">
        <v>10</v>
      </c>
      <c r="L583">
        <v>367</v>
      </c>
      <c r="M583" t="str">
        <v>DESARROLLO</v>
      </c>
      <c r="N583" t="str">
        <v>CLIENTE-0005</v>
      </c>
      <c r="O583" t="str">
        <v>BARCELONA</v>
      </c>
      <c r="P583">
        <v>1200</v>
      </c>
      <c r="Q583">
        <v>44115</v>
      </c>
      <c r="R583" t="str">
        <v>SI</v>
      </c>
    </row>
    <row r="584" spans="1:18" x14ac:dyDescent="0.25">
      <c r="A584" s="2">
        <v>583</v>
      </c>
      <c r="B584" t="s">
        <v>16</v>
      </c>
      <c r="C584" t="s">
        <v>21</v>
      </c>
      <c r="D584" t="s">
        <v>22</v>
      </c>
      <c r="E584" s="3">
        <v>300</v>
      </c>
      <c r="F584" s="4">
        <v>44371</v>
      </c>
      <c r="G584" s="2" t="s">
        <v>10</v>
      </c>
      <c r="L584">
        <v>375</v>
      </c>
      <c r="M584" t="str">
        <v>EQUIPOS</v>
      </c>
      <c r="N584" t="str">
        <v>CLIENTE-0001</v>
      </c>
      <c r="O584" t="str">
        <v>MADRID</v>
      </c>
      <c r="P584">
        <v>1200</v>
      </c>
      <c r="Q584">
        <v>44311</v>
      </c>
      <c r="R584" t="str">
        <v>SI</v>
      </c>
    </row>
    <row r="585" spans="1:18" x14ac:dyDescent="0.25">
      <c r="A585" s="2">
        <v>584</v>
      </c>
      <c r="B585" t="s">
        <v>18</v>
      </c>
      <c r="C585" t="s">
        <v>23</v>
      </c>
      <c r="D585" t="s">
        <v>22</v>
      </c>
      <c r="E585" s="3">
        <v>200</v>
      </c>
      <c r="F585" s="4">
        <v>44099</v>
      </c>
      <c r="G585" s="2" t="s">
        <v>10</v>
      </c>
      <c r="L585">
        <v>385</v>
      </c>
      <c r="M585" t="str">
        <v>DESARROLLO</v>
      </c>
      <c r="N585" t="str">
        <v>CLIENTE-0004</v>
      </c>
      <c r="O585" t="str">
        <v>MADRID</v>
      </c>
      <c r="P585">
        <v>1200</v>
      </c>
      <c r="Q585">
        <v>43625</v>
      </c>
      <c r="R585" t="str">
        <v>SI</v>
      </c>
    </row>
    <row r="586" spans="1:18" x14ac:dyDescent="0.25">
      <c r="A586" s="2">
        <v>585</v>
      </c>
      <c r="B586" t="s">
        <v>20</v>
      </c>
      <c r="C586" t="s">
        <v>24</v>
      </c>
      <c r="D586" t="s">
        <v>9</v>
      </c>
      <c r="E586" s="3">
        <v>150</v>
      </c>
      <c r="F586" s="4">
        <v>43917</v>
      </c>
      <c r="G586" s="2" t="s">
        <v>10</v>
      </c>
      <c r="L586">
        <v>398</v>
      </c>
      <c r="M586" t="str">
        <v>PROGRAMA</v>
      </c>
      <c r="N586" t="str">
        <v>CLIENTE-0010</v>
      </c>
      <c r="O586" t="str">
        <v>MADRID</v>
      </c>
      <c r="P586">
        <v>1200</v>
      </c>
      <c r="Q586">
        <v>44214</v>
      </c>
      <c r="R586" t="str">
        <v>SI</v>
      </c>
    </row>
    <row r="587" spans="1:18" x14ac:dyDescent="0.25">
      <c r="A587" s="2">
        <v>586</v>
      </c>
      <c r="B587" t="s">
        <v>7</v>
      </c>
      <c r="C587" t="s">
        <v>8</v>
      </c>
      <c r="D587" t="s">
        <v>9</v>
      </c>
      <c r="E587" s="3">
        <v>120</v>
      </c>
      <c r="F587" s="4">
        <v>44215</v>
      </c>
      <c r="G587" s="2" t="s">
        <v>10</v>
      </c>
      <c r="L587">
        <v>409</v>
      </c>
      <c r="M587" t="str">
        <v>EQUIPOS</v>
      </c>
      <c r="N587" t="str">
        <v>CLIENTE-0009</v>
      </c>
      <c r="O587" t="str">
        <v>ALICANTE</v>
      </c>
      <c r="P587">
        <v>1200</v>
      </c>
      <c r="Q587">
        <v>44467</v>
      </c>
      <c r="R587" t="str">
        <v>NO</v>
      </c>
    </row>
    <row r="588" spans="1:18" x14ac:dyDescent="0.25">
      <c r="A588" s="2">
        <v>587</v>
      </c>
      <c r="B588" t="s">
        <v>11</v>
      </c>
      <c r="C588" t="s">
        <v>12</v>
      </c>
      <c r="D588" t="s">
        <v>13</v>
      </c>
      <c r="E588" s="3">
        <v>300</v>
      </c>
      <c r="F588" s="4">
        <v>43893</v>
      </c>
      <c r="G588" s="2" t="s">
        <v>10</v>
      </c>
      <c r="L588">
        <v>419</v>
      </c>
      <c r="M588" t="str">
        <v>CONSULTORIA</v>
      </c>
      <c r="N588" t="str">
        <v>CLIENTE-0001</v>
      </c>
      <c r="O588" t="str">
        <v>MADRID</v>
      </c>
      <c r="P588">
        <v>1200</v>
      </c>
      <c r="Q588">
        <v>44155</v>
      </c>
      <c r="R588" t="str">
        <v>SI</v>
      </c>
    </row>
    <row r="589" spans="1:18" x14ac:dyDescent="0.25">
      <c r="A589" s="2">
        <v>588</v>
      </c>
      <c r="B589" t="s">
        <v>14</v>
      </c>
      <c r="C589" t="s">
        <v>12</v>
      </c>
      <c r="D589" t="s">
        <v>13</v>
      </c>
      <c r="E589" s="3">
        <v>350</v>
      </c>
      <c r="F589" s="4">
        <v>44038</v>
      </c>
      <c r="G589" s="2" t="s">
        <v>10</v>
      </c>
      <c r="L589">
        <v>431</v>
      </c>
      <c r="M589" t="str">
        <v>PROYECTO</v>
      </c>
      <c r="N589" t="str">
        <v>CLIENTE-0004</v>
      </c>
      <c r="O589" t="str">
        <v>MADRID</v>
      </c>
      <c r="P589">
        <v>1200</v>
      </c>
      <c r="Q589">
        <v>43940</v>
      </c>
      <c r="R589" t="str">
        <v>SI</v>
      </c>
    </row>
    <row r="590" spans="1:18" x14ac:dyDescent="0.25">
      <c r="A590" s="2">
        <v>589</v>
      </c>
      <c r="B590" t="s">
        <v>16</v>
      </c>
      <c r="C590" t="s">
        <v>15</v>
      </c>
      <c r="D590" t="s">
        <v>13</v>
      </c>
      <c r="E590" s="3">
        <v>300</v>
      </c>
      <c r="F590" s="4">
        <v>44442</v>
      </c>
      <c r="G590" s="2" t="s">
        <v>10</v>
      </c>
      <c r="L590">
        <v>444</v>
      </c>
      <c r="M590" t="str">
        <v>CONSULTORIA</v>
      </c>
      <c r="N590" t="str">
        <v>CLIENTE-0001</v>
      </c>
      <c r="O590" t="str">
        <v>MADRID</v>
      </c>
      <c r="P590">
        <v>1200</v>
      </c>
      <c r="Q590">
        <v>44195</v>
      </c>
      <c r="R590" t="str">
        <v>SI</v>
      </c>
    </row>
    <row r="591" spans="1:18" x14ac:dyDescent="0.25">
      <c r="A591" s="2">
        <v>590</v>
      </c>
      <c r="B591" t="s">
        <v>18</v>
      </c>
      <c r="C591" t="s">
        <v>17</v>
      </c>
      <c r="D591" t="s">
        <v>13</v>
      </c>
      <c r="E591" s="3">
        <v>120</v>
      </c>
      <c r="F591" s="4">
        <v>43588</v>
      </c>
      <c r="G591" s="2" t="s">
        <v>10</v>
      </c>
      <c r="L591">
        <v>454</v>
      </c>
      <c r="M591" t="str">
        <v>CONSULTORIA</v>
      </c>
      <c r="N591" t="str">
        <v>CLIENTE-0009</v>
      </c>
      <c r="O591" t="str">
        <v>ALICANTE</v>
      </c>
      <c r="P591">
        <v>1200</v>
      </c>
      <c r="Q591">
        <v>44421</v>
      </c>
      <c r="R591" t="str">
        <v>NO</v>
      </c>
    </row>
    <row r="592" spans="1:18" x14ac:dyDescent="0.25">
      <c r="A592" s="2">
        <v>591</v>
      </c>
      <c r="B592" t="s">
        <v>20</v>
      </c>
      <c r="C592" t="s">
        <v>21</v>
      </c>
      <c r="D592" t="s">
        <v>22</v>
      </c>
      <c r="E592" s="3">
        <v>150</v>
      </c>
      <c r="F592" s="4">
        <v>43872</v>
      </c>
      <c r="G592" s="2" t="s">
        <v>10</v>
      </c>
      <c r="L592">
        <v>467</v>
      </c>
      <c r="M592" t="str">
        <v>DESARROLLO</v>
      </c>
      <c r="N592" t="str">
        <v>CLIENTE-0002</v>
      </c>
      <c r="O592" t="str">
        <v>ALICANTE</v>
      </c>
      <c r="P592">
        <v>1200</v>
      </c>
      <c r="Q592">
        <v>43964</v>
      </c>
      <c r="R592" t="str">
        <v>SI</v>
      </c>
    </row>
    <row r="593" spans="1:18" x14ac:dyDescent="0.25">
      <c r="A593" s="2">
        <v>592</v>
      </c>
      <c r="B593" t="s">
        <v>7</v>
      </c>
      <c r="C593" t="s">
        <v>23</v>
      </c>
      <c r="D593" t="s">
        <v>22</v>
      </c>
      <c r="E593" s="3">
        <v>1200</v>
      </c>
      <c r="F593" s="4">
        <v>43567</v>
      </c>
      <c r="G593" s="2" t="s">
        <v>10</v>
      </c>
      <c r="L593">
        <v>478</v>
      </c>
      <c r="M593" t="str">
        <v>CONSULTORIA</v>
      </c>
      <c r="N593" t="str">
        <v>CLIENTE-0006</v>
      </c>
      <c r="O593" t="str">
        <v>BARCELONA</v>
      </c>
      <c r="P593">
        <v>1200</v>
      </c>
      <c r="Q593">
        <v>44131</v>
      </c>
      <c r="R593" t="str">
        <v>NO</v>
      </c>
    </row>
    <row r="594" spans="1:18" x14ac:dyDescent="0.25">
      <c r="A594" s="2">
        <v>593</v>
      </c>
      <c r="B594" t="s">
        <v>11</v>
      </c>
      <c r="C594" t="s">
        <v>24</v>
      </c>
      <c r="D594" t="s">
        <v>9</v>
      </c>
      <c r="E594" s="3">
        <v>800</v>
      </c>
      <c r="F594" s="4">
        <v>43923</v>
      </c>
      <c r="G594" s="2" t="s">
        <v>10</v>
      </c>
      <c r="L594">
        <v>488</v>
      </c>
      <c r="M594" t="str">
        <v>CONSULTORIA</v>
      </c>
      <c r="N594" t="str">
        <v>CLIENTE-0010</v>
      </c>
      <c r="O594" t="str">
        <v>MADRID</v>
      </c>
      <c r="P594">
        <v>1200</v>
      </c>
      <c r="Q594">
        <v>44345</v>
      </c>
      <c r="R594" t="str">
        <v>SI</v>
      </c>
    </row>
    <row r="595" spans="1:18" x14ac:dyDescent="0.25">
      <c r="A595" s="2">
        <v>594</v>
      </c>
      <c r="B595" t="s">
        <v>14</v>
      </c>
      <c r="C595" t="s">
        <v>25</v>
      </c>
      <c r="D595" t="s">
        <v>9</v>
      </c>
      <c r="E595" s="3">
        <v>750</v>
      </c>
      <c r="F595" s="4">
        <v>44502</v>
      </c>
      <c r="G595" s="2" t="s">
        <v>10</v>
      </c>
      <c r="L595">
        <v>500</v>
      </c>
      <c r="M595" t="str">
        <v>CONSULTORIA</v>
      </c>
      <c r="N595" t="str">
        <v>CLIENTE-0010</v>
      </c>
      <c r="O595" t="str">
        <v>MADRID</v>
      </c>
      <c r="P595">
        <v>1200</v>
      </c>
      <c r="Q595">
        <v>44361</v>
      </c>
      <c r="R595" t="str">
        <v>SI</v>
      </c>
    </row>
    <row r="596" spans="1:18" x14ac:dyDescent="0.25">
      <c r="A596" s="2">
        <v>595</v>
      </c>
      <c r="B596" t="s">
        <v>20</v>
      </c>
      <c r="C596" t="s">
        <v>24</v>
      </c>
      <c r="D596" t="s">
        <v>9</v>
      </c>
      <c r="E596" s="3">
        <v>4500</v>
      </c>
      <c r="F596" s="4">
        <v>44184</v>
      </c>
      <c r="G596" s="2" t="s">
        <v>10</v>
      </c>
      <c r="L596">
        <v>513</v>
      </c>
      <c r="M596" t="str">
        <v>CONSULTORIA</v>
      </c>
      <c r="N596" t="str">
        <v>CLIENTE-0003</v>
      </c>
      <c r="O596" t="str">
        <v>MADRID</v>
      </c>
      <c r="P596">
        <v>1200</v>
      </c>
      <c r="Q596">
        <v>43503</v>
      </c>
      <c r="R596" t="str">
        <v>SI</v>
      </c>
    </row>
    <row r="597" spans="1:18" x14ac:dyDescent="0.25">
      <c r="A597" s="2">
        <v>596</v>
      </c>
      <c r="B597" t="s">
        <v>7</v>
      </c>
      <c r="C597" t="s">
        <v>25</v>
      </c>
      <c r="D597" t="s">
        <v>9</v>
      </c>
      <c r="E597" s="3">
        <v>500</v>
      </c>
      <c r="F597" s="4">
        <v>43853</v>
      </c>
      <c r="G597" s="2" t="s">
        <v>10</v>
      </c>
      <c r="L597">
        <v>523</v>
      </c>
      <c r="M597" t="str">
        <v>DESARROLLO</v>
      </c>
      <c r="N597" t="str">
        <v>CLIENTE-0006</v>
      </c>
      <c r="O597" t="str">
        <v>BARCELONA</v>
      </c>
      <c r="P597">
        <v>1200</v>
      </c>
      <c r="Q597">
        <v>44089</v>
      </c>
      <c r="R597" t="str">
        <v>SI</v>
      </c>
    </row>
    <row r="598" spans="1:18" x14ac:dyDescent="0.25">
      <c r="A598" s="2">
        <v>597</v>
      </c>
      <c r="B598" t="s">
        <v>11</v>
      </c>
      <c r="C598" t="s">
        <v>27</v>
      </c>
      <c r="D598" t="s">
        <v>22</v>
      </c>
      <c r="E598" s="3">
        <v>750</v>
      </c>
      <c r="F598" s="4">
        <v>43734</v>
      </c>
      <c r="G598" s="2" t="s">
        <v>10</v>
      </c>
      <c r="L598">
        <v>536</v>
      </c>
      <c r="M598" t="str">
        <v>PROGRAMA</v>
      </c>
      <c r="N598" t="str">
        <v>CLIENTE-0001</v>
      </c>
      <c r="O598" t="str">
        <v>MADRID</v>
      </c>
      <c r="P598">
        <v>1200</v>
      </c>
      <c r="Q598">
        <v>43856</v>
      </c>
      <c r="R598" t="str">
        <v>NO</v>
      </c>
    </row>
    <row r="599" spans="1:18" x14ac:dyDescent="0.25">
      <c r="A599" s="2">
        <v>598</v>
      </c>
      <c r="B599" t="s">
        <v>14</v>
      </c>
      <c r="C599" t="s">
        <v>19</v>
      </c>
      <c r="D599" t="s">
        <v>9</v>
      </c>
      <c r="E599" s="3">
        <v>950</v>
      </c>
      <c r="F599" s="4">
        <v>44347</v>
      </c>
      <c r="G599" s="2" t="s">
        <v>10</v>
      </c>
      <c r="L599">
        <v>547</v>
      </c>
      <c r="M599" t="str">
        <v>EQUIPOS</v>
      </c>
      <c r="N599" t="str">
        <v>CLIENTE-0005</v>
      </c>
      <c r="O599" t="str">
        <v>BARCELONA</v>
      </c>
      <c r="P599">
        <v>1200</v>
      </c>
      <c r="Q599">
        <v>44333</v>
      </c>
      <c r="R599" t="str">
        <v>NO</v>
      </c>
    </row>
    <row r="600" spans="1:18" x14ac:dyDescent="0.25">
      <c r="A600" s="2">
        <v>599</v>
      </c>
      <c r="B600" t="s">
        <v>16</v>
      </c>
      <c r="C600" t="s">
        <v>8</v>
      </c>
      <c r="D600" t="s">
        <v>9</v>
      </c>
      <c r="E600" s="3">
        <v>680</v>
      </c>
      <c r="F600" s="4">
        <v>44559</v>
      </c>
      <c r="G600" s="2" t="s">
        <v>10</v>
      </c>
      <c r="L600">
        <v>557</v>
      </c>
      <c r="M600" t="str">
        <v>DESARROLLO</v>
      </c>
      <c r="N600" t="str">
        <v>CLIENTE-0002</v>
      </c>
      <c r="O600" t="str">
        <v>ALICANTE</v>
      </c>
      <c r="P600">
        <v>1200</v>
      </c>
      <c r="Q600">
        <v>43774</v>
      </c>
      <c r="R600" t="str">
        <v>SI</v>
      </c>
    </row>
    <row r="601" spans="1:18" x14ac:dyDescent="0.25">
      <c r="A601" s="2">
        <v>600</v>
      </c>
      <c r="B601" t="s">
        <v>18</v>
      </c>
      <c r="C601" t="s">
        <v>12</v>
      </c>
      <c r="D601" t="s">
        <v>13</v>
      </c>
      <c r="E601" s="3">
        <v>950</v>
      </c>
      <c r="F601" s="4">
        <v>44258</v>
      </c>
      <c r="G601" s="2" t="s">
        <v>10</v>
      </c>
      <c r="L601">
        <v>569</v>
      </c>
      <c r="M601" t="str">
        <v>EQUIPOS</v>
      </c>
      <c r="N601" t="str">
        <v>CLIENTE-0006</v>
      </c>
      <c r="O601" t="str">
        <v>BARCELONA</v>
      </c>
      <c r="P601">
        <v>1200</v>
      </c>
      <c r="Q601">
        <v>44416</v>
      </c>
      <c r="R601" t="str">
        <v>SI</v>
      </c>
    </row>
    <row r="602" spans="1:18" x14ac:dyDescent="0.25">
      <c r="A602" s="2">
        <v>601</v>
      </c>
      <c r="B602" t="s">
        <v>20</v>
      </c>
      <c r="C602" t="s">
        <v>15</v>
      </c>
      <c r="D602" t="s">
        <v>13</v>
      </c>
      <c r="E602" s="3">
        <v>1500</v>
      </c>
      <c r="F602" s="4">
        <v>44354</v>
      </c>
      <c r="G602" s="2" t="s">
        <v>10</v>
      </c>
      <c r="L602">
        <v>582</v>
      </c>
      <c r="M602" t="str">
        <v>EQUIPOS</v>
      </c>
      <c r="N602" t="str">
        <v>CLIENTE-0007</v>
      </c>
      <c r="O602" t="str">
        <v>BARCELONA</v>
      </c>
      <c r="P602">
        <v>1200</v>
      </c>
      <c r="Q602">
        <v>44387</v>
      </c>
      <c r="R602" t="str">
        <v>SI</v>
      </c>
    </row>
    <row r="603" spans="1:18" x14ac:dyDescent="0.25">
      <c r="A603" s="2">
        <v>602</v>
      </c>
      <c r="B603" t="s">
        <v>7</v>
      </c>
      <c r="C603" t="s">
        <v>17</v>
      </c>
      <c r="D603" t="s">
        <v>13</v>
      </c>
      <c r="E603" s="3">
        <v>5000</v>
      </c>
      <c r="F603" s="4">
        <v>43542</v>
      </c>
      <c r="G603" s="2" t="s">
        <v>10</v>
      </c>
      <c r="L603">
        <v>592</v>
      </c>
      <c r="M603" t="str">
        <v>DESARROLLO</v>
      </c>
      <c r="N603" t="str">
        <v>CLIENTE-0009</v>
      </c>
      <c r="O603" t="str">
        <v>ALICANTE</v>
      </c>
      <c r="P603">
        <v>1200</v>
      </c>
      <c r="Q603">
        <v>43567</v>
      </c>
      <c r="R603" t="str">
        <v>SI</v>
      </c>
    </row>
    <row r="604" spans="1:18" x14ac:dyDescent="0.25">
      <c r="A604" s="2">
        <v>603</v>
      </c>
      <c r="B604" t="s">
        <v>11</v>
      </c>
      <c r="C604" t="s">
        <v>21</v>
      </c>
      <c r="D604" t="s">
        <v>22</v>
      </c>
      <c r="E604" s="3">
        <v>6500</v>
      </c>
      <c r="F604" s="4">
        <v>43504</v>
      </c>
      <c r="G604" s="2" t="s">
        <v>26</v>
      </c>
      <c r="L604">
        <v>605</v>
      </c>
      <c r="M604" t="str">
        <v>PROGRAMA</v>
      </c>
      <c r="N604" t="str">
        <v>CLIENTE-0010</v>
      </c>
      <c r="O604" t="str">
        <v>MADRID</v>
      </c>
      <c r="P604">
        <v>1200</v>
      </c>
      <c r="Q604">
        <v>44332</v>
      </c>
      <c r="R604" t="str">
        <v>NO</v>
      </c>
    </row>
    <row r="605" spans="1:18" x14ac:dyDescent="0.25">
      <c r="A605" s="2">
        <v>604</v>
      </c>
      <c r="B605" t="s">
        <v>14</v>
      </c>
      <c r="C605" t="s">
        <v>23</v>
      </c>
      <c r="D605" t="s">
        <v>22</v>
      </c>
      <c r="E605" s="3">
        <v>8500</v>
      </c>
      <c r="F605" s="4">
        <v>44206</v>
      </c>
      <c r="G605" s="2" t="s">
        <v>26</v>
      </c>
      <c r="L605">
        <v>616</v>
      </c>
      <c r="M605" t="str">
        <v>PROYECTO</v>
      </c>
      <c r="N605" t="str">
        <v>CLIENTE-0008</v>
      </c>
      <c r="O605" t="str">
        <v>ALICANTE</v>
      </c>
      <c r="P605">
        <v>1200</v>
      </c>
      <c r="Q605">
        <v>43820</v>
      </c>
      <c r="R605" t="str">
        <v>SI</v>
      </c>
    </row>
    <row r="606" spans="1:18" x14ac:dyDescent="0.25">
      <c r="A606" s="2">
        <v>605</v>
      </c>
      <c r="B606" t="s">
        <v>16</v>
      </c>
      <c r="C606" t="s">
        <v>24</v>
      </c>
      <c r="D606" t="s">
        <v>9</v>
      </c>
      <c r="E606" s="3">
        <v>1200</v>
      </c>
      <c r="F606" s="4">
        <v>44332</v>
      </c>
      <c r="G606" s="2" t="s">
        <v>26</v>
      </c>
      <c r="L606">
        <v>626</v>
      </c>
      <c r="M606" t="str">
        <v>CONSULTORIA</v>
      </c>
      <c r="N606" t="str">
        <v>CLIENTE-0006</v>
      </c>
      <c r="O606" t="str">
        <v>BARCELONA</v>
      </c>
      <c r="P606">
        <v>1200</v>
      </c>
      <c r="Q606">
        <v>44067</v>
      </c>
      <c r="R606" t="str">
        <v>SI</v>
      </c>
    </row>
    <row r="607" spans="1:18" x14ac:dyDescent="0.25">
      <c r="A607" s="2">
        <v>606</v>
      </c>
      <c r="B607" t="s">
        <v>11</v>
      </c>
      <c r="C607" t="s">
        <v>8</v>
      </c>
      <c r="D607" t="s">
        <v>9</v>
      </c>
      <c r="E607" s="3">
        <v>300</v>
      </c>
      <c r="F607" s="4">
        <v>43592</v>
      </c>
      <c r="G607" s="2" t="s">
        <v>26</v>
      </c>
      <c r="L607">
        <v>636</v>
      </c>
      <c r="M607" t="str">
        <v>PROGRAMA</v>
      </c>
      <c r="N607" t="str">
        <v>CLIENTE-0008</v>
      </c>
      <c r="O607" t="str">
        <v>ALICANTE</v>
      </c>
      <c r="P607">
        <v>1200</v>
      </c>
      <c r="Q607">
        <v>43870</v>
      </c>
      <c r="R607" t="str">
        <v>SI</v>
      </c>
    </row>
    <row r="608" spans="1:18" x14ac:dyDescent="0.25">
      <c r="A608" s="2">
        <v>607</v>
      </c>
      <c r="B608" t="s">
        <v>14</v>
      </c>
      <c r="C608" t="s">
        <v>12</v>
      </c>
      <c r="D608" t="s">
        <v>13</v>
      </c>
      <c r="E608" s="3">
        <v>200</v>
      </c>
      <c r="F608" s="4">
        <v>43924</v>
      </c>
      <c r="G608" s="2" t="s">
        <v>26</v>
      </c>
      <c r="L608">
        <v>649</v>
      </c>
      <c r="M608" t="str">
        <v>DESARROLLO</v>
      </c>
      <c r="N608" t="str">
        <v>CLIENTE-0009</v>
      </c>
      <c r="O608" t="str">
        <v>ALICANTE</v>
      </c>
      <c r="P608">
        <v>1200</v>
      </c>
      <c r="Q608">
        <v>43468</v>
      </c>
      <c r="R608" t="str">
        <v>NO</v>
      </c>
    </row>
    <row r="609" spans="1:18" x14ac:dyDescent="0.25">
      <c r="A609" s="2">
        <v>608</v>
      </c>
      <c r="B609" t="s">
        <v>16</v>
      </c>
      <c r="C609" t="s">
        <v>15</v>
      </c>
      <c r="D609" t="s">
        <v>13</v>
      </c>
      <c r="E609" s="3">
        <v>150</v>
      </c>
      <c r="F609" s="4">
        <v>43497</v>
      </c>
      <c r="G609" s="2" t="s">
        <v>26</v>
      </c>
      <c r="L609">
        <v>660</v>
      </c>
      <c r="M609" t="str">
        <v>CONSULTORIA</v>
      </c>
      <c r="N609" t="str">
        <v>CLIENTE-0005</v>
      </c>
      <c r="O609" t="str">
        <v>BARCELONA</v>
      </c>
      <c r="P609">
        <v>1200</v>
      </c>
      <c r="Q609">
        <v>44222</v>
      </c>
      <c r="R609" t="str">
        <v>SI</v>
      </c>
    </row>
    <row r="610" spans="1:18" x14ac:dyDescent="0.25">
      <c r="A610" s="2">
        <v>609</v>
      </c>
      <c r="B610" t="s">
        <v>18</v>
      </c>
      <c r="C610" t="s">
        <v>17</v>
      </c>
      <c r="D610" t="s">
        <v>13</v>
      </c>
      <c r="E610" s="3">
        <v>120</v>
      </c>
      <c r="F610" s="4">
        <v>43874</v>
      </c>
      <c r="G610" s="2" t="s">
        <v>26</v>
      </c>
      <c r="L610">
        <v>668</v>
      </c>
      <c r="M610" t="str">
        <v>EQUIPOS</v>
      </c>
      <c r="N610" t="str">
        <v>CLIENTE-0001</v>
      </c>
      <c r="O610" t="str">
        <v>MADRID</v>
      </c>
      <c r="P610">
        <v>1200</v>
      </c>
      <c r="Q610">
        <v>43517</v>
      </c>
      <c r="R610" t="str">
        <v>SI</v>
      </c>
    </row>
    <row r="611" spans="1:18" x14ac:dyDescent="0.25">
      <c r="A611" s="2">
        <v>610</v>
      </c>
      <c r="B611" t="s">
        <v>20</v>
      </c>
      <c r="C611" t="s">
        <v>19</v>
      </c>
      <c r="D611" t="s">
        <v>9</v>
      </c>
      <c r="E611" s="3">
        <v>300</v>
      </c>
      <c r="F611" s="4">
        <v>43872</v>
      </c>
      <c r="G611" s="2" t="s">
        <v>10</v>
      </c>
      <c r="L611">
        <v>678</v>
      </c>
      <c r="M611" t="str">
        <v>DESARROLLO</v>
      </c>
      <c r="N611" t="str">
        <v>CLIENTE-0004</v>
      </c>
      <c r="O611" t="str">
        <v>MADRID</v>
      </c>
      <c r="P611">
        <v>1200</v>
      </c>
      <c r="Q611">
        <v>43468</v>
      </c>
      <c r="R611" t="str">
        <v>SI</v>
      </c>
    </row>
    <row r="612" spans="1:18" x14ac:dyDescent="0.25">
      <c r="A612" s="2">
        <v>611</v>
      </c>
      <c r="B612" t="s">
        <v>7</v>
      </c>
      <c r="C612" t="s">
        <v>8</v>
      </c>
      <c r="D612" t="s">
        <v>9</v>
      </c>
      <c r="E612" s="3">
        <v>350</v>
      </c>
      <c r="F612" s="4">
        <v>43742</v>
      </c>
      <c r="G612" s="2" t="s">
        <v>10</v>
      </c>
      <c r="L612">
        <v>691</v>
      </c>
      <c r="M612" t="str">
        <v>PROYECTO</v>
      </c>
      <c r="N612" t="str">
        <v>CLIENTE-0001</v>
      </c>
      <c r="O612" t="str">
        <v>MADRID</v>
      </c>
      <c r="P612">
        <v>1200</v>
      </c>
      <c r="Q612">
        <v>44476</v>
      </c>
      <c r="R612" t="str">
        <v>SI</v>
      </c>
    </row>
    <row r="613" spans="1:18" x14ac:dyDescent="0.25">
      <c r="A613" s="2">
        <v>612</v>
      </c>
      <c r="B613" t="s">
        <v>11</v>
      </c>
      <c r="C613" t="s">
        <v>12</v>
      </c>
      <c r="D613" t="s">
        <v>13</v>
      </c>
      <c r="E613" s="3">
        <v>300</v>
      </c>
      <c r="F613" s="4">
        <v>44184</v>
      </c>
      <c r="G613" s="2" t="s">
        <v>10</v>
      </c>
      <c r="L613">
        <v>702</v>
      </c>
      <c r="M613" t="str">
        <v>DESARROLLO</v>
      </c>
      <c r="N613" t="str">
        <v>CLIENTE-0010</v>
      </c>
      <c r="O613" t="str">
        <v>MADRID</v>
      </c>
      <c r="P613">
        <v>1200</v>
      </c>
      <c r="Q613">
        <v>44025</v>
      </c>
      <c r="R613" t="str">
        <v>NO</v>
      </c>
    </row>
    <row r="614" spans="1:18" x14ac:dyDescent="0.25">
      <c r="A614" s="2">
        <v>613</v>
      </c>
      <c r="B614" t="s">
        <v>14</v>
      </c>
      <c r="C614" t="s">
        <v>12</v>
      </c>
      <c r="D614" t="s">
        <v>13</v>
      </c>
      <c r="E614" s="3">
        <v>120</v>
      </c>
      <c r="F614" s="4">
        <v>44302</v>
      </c>
      <c r="G614" s="2" t="s">
        <v>10</v>
      </c>
      <c r="L614">
        <v>712</v>
      </c>
      <c r="M614" t="str">
        <v>DESARROLLO</v>
      </c>
      <c r="N614" t="str">
        <v>CLIENTE-0010</v>
      </c>
      <c r="O614" t="str">
        <v>MADRID</v>
      </c>
      <c r="P614">
        <v>1200</v>
      </c>
      <c r="Q614">
        <v>43516</v>
      </c>
      <c r="R614" t="str">
        <v>SI</v>
      </c>
    </row>
    <row r="615" spans="1:18" x14ac:dyDescent="0.25">
      <c r="A615" s="2">
        <v>614</v>
      </c>
      <c r="B615" t="s">
        <v>20</v>
      </c>
      <c r="C615" t="s">
        <v>15</v>
      </c>
      <c r="D615" t="s">
        <v>13</v>
      </c>
      <c r="E615" s="3">
        <v>150</v>
      </c>
      <c r="F615" s="4">
        <v>43845</v>
      </c>
      <c r="G615" s="2" t="s">
        <v>10</v>
      </c>
      <c r="L615">
        <v>724</v>
      </c>
      <c r="M615" t="str">
        <v>DESARROLLO</v>
      </c>
      <c r="N615" t="str">
        <v>CLIENTE-0010</v>
      </c>
      <c r="O615" t="str">
        <v>MADRID</v>
      </c>
      <c r="P615">
        <v>1200</v>
      </c>
      <c r="Q615">
        <v>43512</v>
      </c>
      <c r="R615" t="str">
        <v>SI</v>
      </c>
    </row>
    <row r="616" spans="1:18" x14ac:dyDescent="0.25">
      <c r="A616" s="2">
        <v>615</v>
      </c>
      <c r="B616" t="s">
        <v>7</v>
      </c>
      <c r="C616" t="s">
        <v>17</v>
      </c>
      <c r="D616" t="s">
        <v>13</v>
      </c>
      <c r="E616" s="3">
        <v>8500</v>
      </c>
      <c r="F616" s="4">
        <v>44036</v>
      </c>
      <c r="G616" s="2" t="s">
        <v>10</v>
      </c>
      <c r="L616">
        <v>733</v>
      </c>
      <c r="M616" t="str">
        <v>EQUIPOS</v>
      </c>
      <c r="N616" t="str">
        <v>CLIENTE-0009</v>
      </c>
      <c r="O616" t="str">
        <v>ALICANTE</v>
      </c>
      <c r="P616">
        <v>1200</v>
      </c>
      <c r="Q616">
        <v>44209</v>
      </c>
      <c r="R616" t="str">
        <v>SI</v>
      </c>
    </row>
    <row r="617" spans="1:18" x14ac:dyDescent="0.25">
      <c r="A617" s="2">
        <v>616</v>
      </c>
      <c r="B617" t="s">
        <v>11</v>
      </c>
      <c r="C617" t="s">
        <v>21</v>
      </c>
      <c r="D617" t="s">
        <v>22</v>
      </c>
      <c r="E617" s="3">
        <v>1200</v>
      </c>
      <c r="F617" s="4">
        <v>43820</v>
      </c>
      <c r="G617" s="2" t="s">
        <v>10</v>
      </c>
      <c r="L617">
        <v>743</v>
      </c>
      <c r="M617" t="str">
        <v>DESARROLLO</v>
      </c>
      <c r="N617" t="str">
        <v>CLIENTE-0003</v>
      </c>
      <c r="O617" t="str">
        <v>MADRID</v>
      </c>
      <c r="P617">
        <v>1200</v>
      </c>
      <c r="Q617">
        <v>43576</v>
      </c>
      <c r="R617" t="str">
        <v>NO</v>
      </c>
    </row>
    <row r="618" spans="1:18" x14ac:dyDescent="0.25">
      <c r="A618" s="2">
        <v>617</v>
      </c>
      <c r="B618" t="s">
        <v>14</v>
      </c>
      <c r="C618" t="s">
        <v>23</v>
      </c>
      <c r="D618" t="s">
        <v>22</v>
      </c>
      <c r="E618" s="3">
        <v>300</v>
      </c>
      <c r="F618" s="4">
        <v>44012</v>
      </c>
      <c r="G618" s="2" t="s">
        <v>26</v>
      </c>
      <c r="L618">
        <v>756</v>
      </c>
      <c r="M618" t="str">
        <v>PROGRAMA</v>
      </c>
      <c r="N618" t="str">
        <v>CLIENTE-0003</v>
      </c>
      <c r="O618" t="str">
        <v>MADRID</v>
      </c>
      <c r="P618">
        <v>1200</v>
      </c>
      <c r="Q618">
        <v>43501</v>
      </c>
      <c r="R618" t="str">
        <v>NO</v>
      </c>
    </row>
    <row r="619" spans="1:18" x14ac:dyDescent="0.25">
      <c r="A619" s="2">
        <v>618</v>
      </c>
      <c r="B619" t="s">
        <v>16</v>
      </c>
      <c r="C619" t="s">
        <v>24</v>
      </c>
      <c r="D619" t="s">
        <v>9</v>
      </c>
      <c r="E619" s="3">
        <v>200</v>
      </c>
      <c r="F619" s="4">
        <v>44302</v>
      </c>
      <c r="G619" s="2" t="s">
        <v>26</v>
      </c>
      <c r="L619">
        <v>767</v>
      </c>
      <c r="M619" t="str">
        <v>PROYECTO</v>
      </c>
      <c r="N619" t="str">
        <v>CLIENTE-0006</v>
      </c>
      <c r="O619" t="str">
        <v>BARCELONA</v>
      </c>
      <c r="P619">
        <v>1200</v>
      </c>
      <c r="Q619">
        <v>43963</v>
      </c>
      <c r="R619" t="str">
        <v>SI</v>
      </c>
    </row>
    <row r="620" spans="1:18" x14ac:dyDescent="0.25">
      <c r="A620" s="2">
        <v>619</v>
      </c>
      <c r="B620" t="s">
        <v>18</v>
      </c>
      <c r="C620" t="s">
        <v>25</v>
      </c>
      <c r="D620" t="s">
        <v>9</v>
      </c>
      <c r="E620" s="3">
        <v>150</v>
      </c>
      <c r="F620" s="4">
        <v>44008</v>
      </c>
      <c r="G620" s="2" t="s">
        <v>26</v>
      </c>
      <c r="L620">
        <v>777</v>
      </c>
      <c r="M620" t="str">
        <v>CONSULTORIA</v>
      </c>
      <c r="N620" t="str">
        <v>CLIENTE-0004</v>
      </c>
      <c r="O620" t="str">
        <v>MADRID</v>
      </c>
      <c r="P620">
        <v>1200</v>
      </c>
      <c r="Q620">
        <v>43529</v>
      </c>
      <c r="R620" t="str">
        <v>NO</v>
      </c>
    </row>
    <row r="621" spans="1:18" x14ac:dyDescent="0.25">
      <c r="A621" s="2">
        <v>620</v>
      </c>
      <c r="B621" t="s">
        <v>20</v>
      </c>
      <c r="C621" t="s">
        <v>24</v>
      </c>
      <c r="D621" t="s">
        <v>9</v>
      </c>
      <c r="E621" s="3">
        <v>120</v>
      </c>
      <c r="F621" s="4">
        <v>44214</v>
      </c>
      <c r="G621" s="2" t="s">
        <v>26</v>
      </c>
      <c r="L621">
        <v>10</v>
      </c>
      <c r="M621" t="str">
        <v>PROGRAMA</v>
      </c>
      <c r="N621" t="str">
        <v>CLIENTE-0007</v>
      </c>
      <c r="O621" t="str">
        <v>BARCELONA</v>
      </c>
      <c r="P621">
        <v>1500</v>
      </c>
      <c r="Q621">
        <v>43584</v>
      </c>
      <c r="R621" t="str">
        <v>SI</v>
      </c>
    </row>
    <row r="622" spans="1:18" x14ac:dyDescent="0.25">
      <c r="A622" s="2">
        <v>621</v>
      </c>
      <c r="B622" t="s">
        <v>7</v>
      </c>
      <c r="C622" t="s">
        <v>25</v>
      </c>
      <c r="D622" t="s">
        <v>9</v>
      </c>
      <c r="E622" s="3">
        <v>300</v>
      </c>
      <c r="F622" s="4">
        <v>43604</v>
      </c>
      <c r="G622" s="2" t="s">
        <v>26</v>
      </c>
      <c r="L622">
        <v>33</v>
      </c>
      <c r="M622" t="str">
        <v>PROYECTO</v>
      </c>
      <c r="N622" t="str">
        <v>CLIENTE-0010</v>
      </c>
      <c r="O622" t="str">
        <v>MADRID</v>
      </c>
      <c r="P622">
        <v>1500</v>
      </c>
      <c r="Q622">
        <v>43753</v>
      </c>
      <c r="R622" t="str">
        <v>SI</v>
      </c>
    </row>
    <row r="623" spans="1:18" x14ac:dyDescent="0.25">
      <c r="A623" s="2">
        <v>622</v>
      </c>
      <c r="B623" t="s">
        <v>11</v>
      </c>
      <c r="C623" t="s">
        <v>27</v>
      </c>
      <c r="D623" t="s">
        <v>22</v>
      </c>
      <c r="E623" s="3">
        <v>350</v>
      </c>
      <c r="F623" s="4">
        <v>44132</v>
      </c>
      <c r="G623" s="2" t="s">
        <v>26</v>
      </c>
      <c r="L623">
        <v>67</v>
      </c>
      <c r="M623" t="str">
        <v>PROYECTO</v>
      </c>
      <c r="N623" t="str">
        <v>CLIENTE-0007</v>
      </c>
      <c r="O623" t="str">
        <v>BARCELONA</v>
      </c>
      <c r="P623">
        <v>1500</v>
      </c>
      <c r="Q623">
        <v>44444</v>
      </c>
      <c r="R623" t="str">
        <v>SI</v>
      </c>
    </row>
    <row r="624" spans="1:18" x14ac:dyDescent="0.25">
      <c r="A624" s="2">
        <v>623</v>
      </c>
      <c r="B624" t="s">
        <v>14</v>
      </c>
      <c r="C624" t="s">
        <v>19</v>
      </c>
      <c r="D624" t="s">
        <v>9</v>
      </c>
      <c r="E624" s="3">
        <v>300</v>
      </c>
      <c r="F624" s="4">
        <v>44210</v>
      </c>
      <c r="G624" s="2" t="s">
        <v>10</v>
      </c>
      <c r="L624">
        <v>79</v>
      </c>
      <c r="M624" t="str">
        <v>PROGRAMA</v>
      </c>
      <c r="N624" t="str">
        <v>CLIENTE-0001</v>
      </c>
      <c r="O624" t="str">
        <v>MADRID</v>
      </c>
      <c r="P624">
        <v>1500</v>
      </c>
      <c r="Q624">
        <v>43634</v>
      </c>
      <c r="R624" t="str">
        <v>SI</v>
      </c>
    </row>
    <row r="625" spans="1:18" x14ac:dyDescent="0.25">
      <c r="A625" s="2">
        <v>624</v>
      </c>
      <c r="B625" t="s">
        <v>16</v>
      </c>
      <c r="C625" t="s">
        <v>8</v>
      </c>
      <c r="D625" t="s">
        <v>9</v>
      </c>
      <c r="E625" s="3">
        <v>120</v>
      </c>
      <c r="F625" s="4">
        <v>44102</v>
      </c>
      <c r="G625" s="2" t="s">
        <v>10</v>
      </c>
      <c r="L625">
        <v>102</v>
      </c>
      <c r="M625" t="str">
        <v>PROYECTO</v>
      </c>
      <c r="N625" t="str">
        <v>CLIENTE-0009</v>
      </c>
      <c r="O625" t="str">
        <v>ALICANTE</v>
      </c>
      <c r="P625">
        <v>1500</v>
      </c>
      <c r="Q625">
        <v>44287</v>
      </c>
      <c r="R625" t="str">
        <v>SI</v>
      </c>
    </row>
    <row r="626" spans="1:18" x14ac:dyDescent="0.25">
      <c r="A626" s="2">
        <v>625</v>
      </c>
      <c r="B626" t="s">
        <v>18</v>
      </c>
      <c r="C626" t="s">
        <v>12</v>
      </c>
      <c r="D626" t="s">
        <v>13</v>
      </c>
      <c r="E626" s="3">
        <v>150</v>
      </c>
      <c r="F626" s="4">
        <v>43591</v>
      </c>
      <c r="G626" s="2" t="s">
        <v>10</v>
      </c>
      <c r="L626">
        <v>136</v>
      </c>
      <c r="M626" t="str">
        <v>DESARROLLO</v>
      </c>
      <c r="N626" t="str">
        <v>CLIENTE-0004</v>
      </c>
      <c r="O626" t="str">
        <v>MADRID</v>
      </c>
      <c r="P626">
        <v>1500</v>
      </c>
      <c r="Q626">
        <v>44356</v>
      </c>
      <c r="R626" t="str">
        <v>SI</v>
      </c>
    </row>
    <row r="627" spans="1:18" x14ac:dyDescent="0.25">
      <c r="A627" s="2">
        <v>626</v>
      </c>
      <c r="B627" t="s">
        <v>20</v>
      </c>
      <c r="C627" t="s">
        <v>15</v>
      </c>
      <c r="D627" t="s">
        <v>13</v>
      </c>
      <c r="E627" s="3">
        <v>1200</v>
      </c>
      <c r="F627" s="4">
        <v>44067</v>
      </c>
      <c r="G627" s="2" t="s">
        <v>10</v>
      </c>
      <c r="L627">
        <v>148</v>
      </c>
      <c r="M627" t="str">
        <v>DESARROLLO</v>
      </c>
      <c r="N627" t="str">
        <v>CLIENTE-0010</v>
      </c>
      <c r="O627" t="str">
        <v>MADRID</v>
      </c>
      <c r="P627">
        <v>1500</v>
      </c>
      <c r="Q627">
        <v>44233</v>
      </c>
      <c r="R627" t="str">
        <v>SI</v>
      </c>
    </row>
    <row r="628" spans="1:18" x14ac:dyDescent="0.25">
      <c r="A628" s="2">
        <v>627</v>
      </c>
      <c r="B628" t="s">
        <v>7</v>
      </c>
      <c r="C628" t="s">
        <v>17</v>
      </c>
      <c r="D628" t="s">
        <v>13</v>
      </c>
      <c r="E628" s="3">
        <v>800</v>
      </c>
      <c r="F628" s="4">
        <v>43473</v>
      </c>
      <c r="G628" s="2" t="s">
        <v>10</v>
      </c>
      <c r="L628">
        <v>171</v>
      </c>
      <c r="M628" t="str">
        <v>PROYECTO</v>
      </c>
      <c r="N628" t="str">
        <v>CLIENTE-0001</v>
      </c>
      <c r="O628" t="str">
        <v>MADRID</v>
      </c>
      <c r="P628">
        <v>1500</v>
      </c>
      <c r="Q628">
        <v>44091</v>
      </c>
      <c r="R628" t="str">
        <v>SI</v>
      </c>
    </row>
    <row r="629" spans="1:18" x14ac:dyDescent="0.25">
      <c r="A629" s="2">
        <v>628</v>
      </c>
      <c r="B629" t="s">
        <v>11</v>
      </c>
      <c r="C629" t="s">
        <v>21</v>
      </c>
      <c r="D629" t="s">
        <v>22</v>
      </c>
      <c r="E629" s="3">
        <v>750</v>
      </c>
      <c r="F629" s="4">
        <v>44060</v>
      </c>
      <c r="G629" s="2" t="s">
        <v>10</v>
      </c>
      <c r="L629">
        <v>205</v>
      </c>
      <c r="M629" t="str">
        <v>PROGRAMA</v>
      </c>
      <c r="N629" t="str">
        <v>CLIENTE-0007</v>
      </c>
      <c r="O629" t="str">
        <v>BARCELONA</v>
      </c>
      <c r="P629">
        <v>1500</v>
      </c>
      <c r="Q629">
        <v>43525</v>
      </c>
      <c r="R629" t="str">
        <v>SI</v>
      </c>
    </row>
    <row r="630" spans="1:18" x14ac:dyDescent="0.25">
      <c r="A630" s="2">
        <v>629</v>
      </c>
      <c r="B630" t="s">
        <v>14</v>
      </c>
      <c r="C630" t="s">
        <v>23</v>
      </c>
      <c r="D630" t="s">
        <v>22</v>
      </c>
      <c r="E630" s="3">
        <v>4500</v>
      </c>
      <c r="F630" s="4">
        <v>43683</v>
      </c>
      <c r="G630" s="2" t="s">
        <v>10</v>
      </c>
      <c r="L630">
        <v>217</v>
      </c>
      <c r="M630" t="str">
        <v>CONSULTORIA</v>
      </c>
      <c r="N630" t="str">
        <v>CLIENTE-0007</v>
      </c>
      <c r="O630" t="str">
        <v>BARCELONA</v>
      </c>
      <c r="P630">
        <v>1500</v>
      </c>
      <c r="Q630">
        <v>44212</v>
      </c>
      <c r="R630" t="str">
        <v>SI</v>
      </c>
    </row>
    <row r="631" spans="1:18" x14ac:dyDescent="0.25">
      <c r="A631" s="2">
        <v>630</v>
      </c>
      <c r="B631" t="s">
        <v>16</v>
      </c>
      <c r="C631" t="s">
        <v>24</v>
      </c>
      <c r="D631" t="s">
        <v>9</v>
      </c>
      <c r="E631" s="3">
        <v>500</v>
      </c>
      <c r="F631" s="4">
        <v>44247</v>
      </c>
      <c r="G631" s="2" t="s">
        <v>10</v>
      </c>
      <c r="L631">
        <v>240</v>
      </c>
      <c r="M631" t="str">
        <v>FORMACION</v>
      </c>
      <c r="N631" t="str">
        <v>CLIENTE-0005</v>
      </c>
      <c r="O631" t="str">
        <v>BARCELONA</v>
      </c>
      <c r="P631">
        <v>1500</v>
      </c>
      <c r="Q631">
        <v>43922</v>
      </c>
      <c r="R631" t="str">
        <v>SI</v>
      </c>
    </row>
    <row r="632" spans="1:18" x14ac:dyDescent="0.25">
      <c r="A632" s="2">
        <v>631</v>
      </c>
      <c r="B632" t="s">
        <v>18</v>
      </c>
      <c r="C632" t="s">
        <v>8</v>
      </c>
      <c r="D632" t="s">
        <v>9</v>
      </c>
      <c r="E632" s="3">
        <v>750</v>
      </c>
      <c r="F632" s="4">
        <v>44451</v>
      </c>
      <c r="G632" s="2" t="s">
        <v>10</v>
      </c>
      <c r="L632">
        <v>274</v>
      </c>
      <c r="M632" t="str">
        <v>PROGRAMA</v>
      </c>
      <c r="N632" t="str">
        <v>CLIENTE-0005</v>
      </c>
      <c r="O632" t="str">
        <v>BARCELONA</v>
      </c>
      <c r="P632">
        <v>1500</v>
      </c>
      <c r="Q632">
        <v>44545</v>
      </c>
      <c r="R632" t="str">
        <v>SI</v>
      </c>
    </row>
    <row r="633" spans="1:18" x14ac:dyDescent="0.25">
      <c r="A633" s="2">
        <v>632</v>
      </c>
      <c r="B633" t="s">
        <v>20</v>
      </c>
      <c r="C633" t="s">
        <v>12</v>
      </c>
      <c r="D633" t="s">
        <v>13</v>
      </c>
      <c r="E633" s="3">
        <v>950</v>
      </c>
      <c r="F633" s="4">
        <v>43853</v>
      </c>
      <c r="G633" s="2" t="s">
        <v>10</v>
      </c>
      <c r="L633">
        <v>283</v>
      </c>
      <c r="M633" t="str">
        <v>EQUIPOS</v>
      </c>
      <c r="N633" t="str">
        <v>CLIENTE-0006</v>
      </c>
      <c r="O633" t="str">
        <v>BARCELONA</v>
      </c>
      <c r="P633">
        <v>1500</v>
      </c>
      <c r="Q633">
        <v>43704</v>
      </c>
      <c r="R633" t="str">
        <v>NO</v>
      </c>
    </row>
    <row r="634" spans="1:18" x14ac:dyDescent="0.25">
      <c r="A634" s="2">
        <v>633</v>
      </c>
      <c r="B634" t="s">
        <v>7</v>
      </c>
      <c r="C634" t="s">
        <v>12</v>
      </c>
      <c r="D634" t="s">
        <v>13</v>
      </c>
      <c r="E634" s="3">
        <v>680</v>
      </c>
      <c r="F634" s="4">
        <v>43476</v>
      </c>
      <c r="G634" s="2" t="s">
        <v>10</v>
      </c>
      <c r="L634">
        <v>317</v>
      </c>
      <c r="M634" t="str">
        <v>CONSULTORIA</v>
      </c>
      <c r="N634" t="str">
        <v>CLIENTE-0008</v>
      </c>
      <c r="O634" t="str">
        <v>ALICANTE</v>
      </c>
      <c r="P634">
        <v>1500</v>
      </c>
      <c r="Q634">
        <v>44116</v>
      </c>
      <c r="R634" t="str">
        <v>SI</v>
      </c>
    </row>
    <row r="635" spans="1:18" x14ac:dyDescent="0.25">
      <c r="A635" s="2">
        <v>634</v>
      </c>
      <c r="B635" t="s">
        <v>11</v>
      </c>
      <c r="C635" t="s">
        <v>15</v>
      </c>
      <c r="D635" t="s">
        <v>13</v>
      </c>
      <c r="E635" s="3">
        <v>120</v>
      </c>
      <c r="F635" s="4">
        <v>43577</v>
      </c>
      <c r="G635" s="2" t="s">
        <v>10</v>
      </c>
      <c r="L635">
        <v>329</v>
      </c>
      <c r="M635" t="str">
        <v>CONSULTORIA</v>
      </c>
      <c r="N635" t="str">
        <v>CLIENTE-0010</v>
      </c>
      <c r="O635" t="str">
        <v>MADRID</v>
      </c>
      <c r="P635">
        <v>1500</v>
      </c>
      <c r="Q635">
        <v>43797</v>
      </c>
      <c r="R635" t="str">
        <v>SI</v>
      </c>
    </row>
    <row r="636" spans="1:18" x14ac:dyDescent="0.25">
      <c r="A636" s="2">
        <v>635</v>
      </c>
      <c r="B636" t="s">
        <v>14</v>
      </c>
      <c r="C636" t="s">
        <v>17</v>
      </c>
      <c r="D636" t="s">
        <v>13</v>
      </c>
      <c r="E636" s="3">
        <v>150</v>
      </c>
      <c r="F636" s="4">
        <v>44359</v>
      </c>
      <c r="G636" s="2" t="s">
        <v>10</v>
      </c>
      <c r="L636">
        <v>352</v>
      </c>
      <c r="M636" t="str">
        <v>DESARROLLO</v>
      </c>
      <c r="N636" t="str">
        <v>CLIENTE-0010</v>
      </c>
      <c r="O636" t="str">
        <v>MADRID</v>
      </c>
      <c r="P636">
        <v>1500</v>
      </c>
      <c r="Q636">
        <v>43523</v>
      </c>
      <c r="R636" t="str">
        <v>NO</v>
      </c>
    </row>
    <row r="637" spans="1:18" x14ac:dyDescent="0.25">
      <c r="A637" s="2">
        <v>636</v>
      </c>
      <c r="B637" t="s">
        <v>16</v>
      </c>
      <c r="C637" t="s">
        <v>21</v>
      </c>
      <c r="D637" t="s">
        <v>22</v>
      </c>
      <c r="E637" s="3">
        <v>1200</v>
      </c>
      <c r="F637" s="4">
        <v>43870</v>
      </c>
      <c r="G637" s="2" t="s">
        <v>10</v>
      </c>
      <c r="L637">
        <v>394</v>
      </c>
      <c r="M637" t="str">
        <v>CONSULTORIA</v>
      </c>
      <c r="N637" t="str">
        <v>CLIENTE-0006</v>
      </c>
      <c r="O637" t="str">
        <v>BARCELONA</v>
      </c>
      <c r="P637">
        <v>1500</v>
      </c>
      <c r="Q637">
        <v>43705</v>
      </c>
      <c r="R637" t="str">
        <v>NO</v>
      </c>
    </row>
    <row r="638" spans="1:18" x14ac:dyDescent="0.25">
      <c r="A638" s="2">
        <v>637</v>
      </c>
      <c r="B638" t="s">
        <v>18</v>
      </c>
      <c r="C638" t="s">
        <v>23</v>
      </c>
      <c r="D638" t="s">
        <v>22</v>
      </c>
      <c r="E638" s="3">
        <v>800</v>
      </c>
      <c r="F638" s="4">
        <v>44146</v>
      </c>
      <c r="G638" s="2" t="s">
        <v>10</v>
      </c>
      <c r="L638">
        <v>428</v>
      </c>
      <c r="M638" t="str">
        <v>EQUIPOS</v>
      </c>
      <c r="N638" t="str">
        <v>CLIENTE-0008</v>
      </c>
      <c r="O638" t="str">
        <v>ALICANTE</v>
      </c>
      <c r="P638">
        <v>1500</v>
      </c>
      <c r="Q638">
        <v>43801</v>
      </c>
      <c r="R638" t="str">
        <v>SI</v>
      </c>
    </row>
    <row r="639" spans="1:18" x14ac:dyDescent="0.25">
      <c r="A639" s="2">
        <v>638</v>
      </c>
      <c r="B639" t="s">
        <v>20</v>
      </c>
      <c r="C639" t="s">
        <v>24</v>
      </c>
      <c r="D639" t="s">
        <v>9</v>
      </c>
      <c r="E639" s="3">
        <v>750</v>
      </c>
      <c r="F639" s="4">
        <v>44370</v>
      </c>
      <c r="G639" s="2" t="s">
        <v>10</v>
      </c>
      <c r="L639">
        <v>440</v>
      </c>
      <c r="M639" t="str">
        <v>PROYECTO</v>
      </c>
      <c r="N639" t="str">
        <v>CLIENTE-0007</v>
      </c>
      <c r="O639" t="str">
        <v>BARCELONA</v>
      </c>
      <c r="P639">
        <v>1500</v>
      </c>
      <c r="Q639">
        <v>44081</v>
      </c>
      <c r="R639" t="str">
        <v>NO</v>
      </c>
    </row>
    <row r="640" spans="1:18" x14ac:dyDescent="0.25">
      <c r="A640" s="2">
        <v>639</v>
      </c>
      <c r="B640" t="s">
        <v>7</v>
      </c>
      <c r="C640" t="s">
        <v>25</v>
      </c>
      <c r="D640" t="s">
        <v>9</v>
      </c>
      <c r="E640" s="3">
        <v>4500</v>
      </c>
      <c r="F640" s="4">
        <v>43510</v>
      </c>
      <c r="G640" s="2" t="s">
        <v>10</v>
      </c>
      <c r="L640">
        <v>463</v>
      </c>
      <c r="M640" t="str">
        <v>EQUIPOS</v>
      </c>
      <c r="N640" t="str">
        <v>CLIENTE-0010</v>
      </c>
      <c r="O640" t="str">
        <v>MADRID</v>
      </c>
      <c r="P640">
        <v>1500</v>
      </c>
      <c r="Q640">
        <v>44159</v>
      </c>
      <c r="R640" t="str">
        <v>SI</v>
      </c>
    </row>
    <row r="641" spans="1:18" x14ac:dyDescent="0.25">
      <c r="A641" s="2">
        <v>640</v>
      </c>
      <c r="B641" t="s">
        <v>11</v>
      </c>
      <c r="C641" t="s">
        <v>24</v>
      </c>
      <c r="D641" t="s">
        <v>9</v>
      </c>
      <c r="E641" s="3">
        <v>500</v>
      </c>
      <c r="F641" s="4">
        <v>44251</v>
      </c>
      <c r="G641" s="2" t="s">
        <v>10</v>
      </c>
      <c r="L641">
        <v>497</v>
      </c>
      <c r="M641" t="str">
        <v>EQUIPOS</v>
      </c>
      <c r="N641" t="str">
        <v>CLIENTE-0007</v>
      </c>
      <c r="O641" t="str">
        <v>BARCELONA</v>
      </c>
      <c r="P641">
        <v>1500</v>
      </c>
      <c r="Q641">
        <v>44545</v>
      </c>
      <c r="R641" t="str">
        <v>SI</v>
      </c>
    </row>
    <row r="642" spans="1:18" x14ac:dyDescent="0.25">
      <c r="A642" s="2">
        <v>641</v>
      </c>
      <c r="B642" t="s">
        <v>14</v>
      </c>
      <c r="C642" t="s">
        <v>25</v>
      </c>
      <c r="D642" t="s">
        <v>9</v>
      </c>
      <c r="E642" s="3">
        <v>750</v>
      </c>
      <c r="F642" s="4">
        <v>44433</v>
      </c>
      <c r="G642" s="2" t="s">
        <v>10</v>
      </c>
      <c r="L642">
        <v>509</v>
      </c>
      <c r="M642" t="str">
        <v>PROYECTO</v>
      </c>
      <c r="N642" t="str">
        <v>CLIENTE-0001</v>
      </c>
      <c r="O642" t="str">
        <v>MADRID</v>
      </c>
      <c r="P642">
        <v>1500</v>
      </c>
      <c r="Q642">
        <v>43626</v>
      </c>
      <c r="R642" t="str">
        <v>NO</v>
      </c>
    </row>
    <row r="643" spans="1:18" x14ac:dyDescent="0.25">
      <c r="A643" s="2">
        <v>642</v>
      </c>
      <c r="B643" t="s">
        <v>16</v>
      </c>
      <c r="C643" t="s">
        <v>27</v>
      </c>
      <c r="D643" t="s">
        <v>22</v>
      </c>
      <c r="E643" s="3">
        <v>950</v>
      </c>
      <c r="F643" s="4">
        <v>43573</v>
      </c>
      <c r="G643" s="2" t="s">
        <v>10</v>
      </c>
      <c r="L643">
        <v>532</v>
      </c>
      <c r="M643" t="str">
        <v>CONSULTORIA</v>
      </c>
      <c r="N643" t="str">
        <v>CLIENTE-0009</v>
      </c>
      <c r="O643" t="str">
        <v>ALICANTE</v>
      </c>
      <c r="P643">
        <v>1500</v>
      </c>
      <c r="Q643">
        <v>44127</v>
      </c>
      <c r="R643" t="str">
        <v>SI</v>
      </c>
    </row>
    <row r="644" spans="1:18" x14ac:dyDescent="0.25">
      <c r="A644" s="2">
        <v>643</v>
      </c>
      <c r="B644" t="s">
        <v>18</v>
      </c>
      <c r="C644" t="s">
        <v>19</v>
      </c>
      <c r="D644" t="s">
        <v>9</v>
      </c>
      <c r="E644" s="3">
        <v>680</v>
      </c>
      <c r="F644" s="4">
        <v>43861</v>
      </c>
      <c r="G644" s="2" t="s">
        <v>10</v>
      </c>
      <c r="L644">
        <v>566</v>
      </c>
      <c r="M644" t="str">
        <v>CONSULTORIA</v>
      </c>
      <c r="N644" t="str">
        <v>CLIENTE-0004</v>
      </c>
      <c r="O644" t="str">
        <v>MADRID</v>
      </c>
      <c r="P644">
        <v>1500</v>
      </c>
      <c r="Q644">
        <v>43646</v>
      </c>
      <c r="R644" t="str">
        <v>SI</v>
      </c>
    </row>
    <row r="645" spans="1:18" x14ac:dyDescent="0.25">
      <c r="A645" s="2">
        <v>644</v>
      </c>
      <c r="B645" t="s">
        <v>20</v>
      </c>
      <c r="C645" t="s">
        <v>8</v>
      </c>
      <c r="D645" t="s">
        <v>9</v>
      </c>
      <c r="E645" s="3">
        <v>950</v>
      </c>
      <c r="F645" s="4">
        <v>44320</v>
      </c>
      <c r="G645" s="2" t="s">
        <v>26</v>
      </c>
      <c r="L645">
        <v>578</v>
      </c>
      <c r="M645" t="str">
        <v>CONSULTORIA</v>
      </c>
      <c r="N645" t="str">
        <v>CLIENTE-0003</v>
      </c>
      <c r="O645" t="str">
        <v>MADRID</v>
      </c>
      <c r="P645">
        <v>1500</v>
      </c>
      <c r="Q645">
        <v>43700</v>
      </c>
      <c r="R645" t="str">
        <v>NO</v>
      </c>
    </row>
    <row r="646" spans="1:18" x14ac:dyDescent="0.25">
      <c r="A646" s="2">
        <v>645</v>
      </c>
      <c r="B646" t="s">
        <v>7</v>
      </c>
      <c r="C646" t="s">
        <v>12</v>
      </c>
      <c r="D646" t="s">
        <v>13</v>
      </c>
      <c r="E646" s="3">
        <v>1500</v>
      </c>
      <c r="F646" s="4">
        <v>44402</v>
      </c>
      <c r="G646" s="2" t="s">
        <v>26</v>
      </c>
      <c r="L646">
        <v>601</v>
      </c>
      <c r="M646" t="str">
        <v>CONSULTORIA</v>
      </c>
      <c r="N646" t="str">
        <v>CLIENTE-0006</v>
      </c>
      <c r="O646" t="str">
        <v>BARCELONA</v>
      </c>
      <c r="P646">
        <v>1500</v>
      </c>
      <c r="Q646">
        <v>44354</v>
      </c>
      <c r="R646" t="str">
        <v>SI</v>
      </c>
    </row>
    <row r="647" spans="1:18" x14ac:dyDescent="0.25">
      <c r="A647" s="2">
        <v>646</v>
      </c>
      <c r="B647" t="s">
        <v>11</v>
      </c>
      <c r="C647" t="s">
        <v>15</v>
      </c>
      <c r="D647" t="s">
        <v>13</v>
      </c>
      <c r="E647" s="3">
        <v>5000</v>
      </c>
      <c r="F647" s="4">
        <v>44431</v>
      </c>
      <c r="G647" s="2" t="s">
        <v>26</v>
      </c>
      <c r="L647">
        <v>645</v>
      </c>
      <c r="M647" t="str">
        <v>DESARROLLO</v>
      </c>
      <c r="N647" t="str">
        <v>CLIENTE-0005</v>
      </c>
      <c r="O647" t="str">
        <v>BARCELONA</v>
      </c>
      <c r="P647">
        <v>1500</v>
      </c>
      <c r="Q647">
        <v>44402</v>
      </c>
      <c r="R647" t="str">
        <v>NO</v>
      </c>
    </row>
    <row r="648" spans="1:18" x14ac:dyDescent="0.25">
      <c r="A648" s="2">
        <v>647</v>
      </c>
      <c r="B648" t="s">
        <v>14</v>
      </c>
      <c r="C648" t="s">
        <v>17</v>
      </c>
      <c r="D648" t="s">
        <v>13</v>
      </c>
      <c r="E648" s="3">
        <v>6500</v>
      </c>
      <c r="F648" s="4">
        <v>43608</v>
      </c>
      <c r="G648" s="2" t="s">
        <v>26</v>
      </c>
      <c r="L648">
        <v>687</v>
      </c>
      <c r="M648" t="str">
        <v>PROGRAMA</v>
      </c>
      <c r="N648" t="str">
        <v>CLIENTE-0007</v>
      </c>
      <c r="O648" t="str">
        <v>BARCELONA</v>
      </c>
      <c r="P648">
        <v>1500</v>
      </c>
      <c r="Q648">
        <v>44087</v>
      </c>
      <c r="R648" t="str">
        <v>SI</v>
      </c>
    </row>
    <row r="649" spans="1:18" x14ac:dyDescent="0.25">
      <c r="A649" s="2">
        <v>648</v>
      </c>
      <c r="B649" t="s">
        <v>20</v>
      </c>
      <c r="C649" t="s">
        <v>21</v>
      </c>
      <c r="D649" t="s">
        <v>22</v>
      </c>
      <c r="E649" s="3">
        <v>8500</v>
      </c>
      <c r="F649" s="4">
        <v>44172</v>
      </c>
      <c r="G649" s="2" t="s">
        <v>26</v>
      </c>
      <c r="L649">
        <v>721</v>
      </c>
      <c r="M649" t="str">
        <v>PROGRAMA</v>
      </c>
      <c r="N649" t="str">
        <v>CLIENTE-0009</v>
      </c>
      <c r="O649" t="str">
        <v>ALICANTE</v>
      </c>
      <c r="P649">
        <v>1500</v>
      </c>
      <c r="Q649">
        <v>43511</v>
      </c>
      <c r="R649" t="str">
        <v>SI</v>
      </c>
    </row>
    <row r="650" spans="1:18" x14ac:dyDescent="0.25">
      <c r="A650" s="2">
        <v>649</v>
      </c>
      <c r="B650" t="s">
        <v>7</v>
      </c>
      <c r="C650" t="s">
        <v>23</v>
      </c>
      <c r="D650" t="s">
        <v>22</v>
      </c>
      <c r="E650" s="3">
        <v>1200</v>
      </c>
      <c r="F650" s="4">
        <v>43468</v>
      </c>
      <c r="G650" s="2" t="s">
        <v>26</v>
      </c>
      <c r="L650">
        <v>752</v>
      </c>
      <c r="M650" t="str">
        <v>CONSULTORIA</v>
      </c>
      <c r="N650" t="str">
        <v>CLIENTE-0001</v>
      </c>
      <c r="O650" t="str">
        <v>MADRID</v>
      </c>
      <c r="P650">
        <v>1500</v>
      </c>
      <c r="Q650">
        <v>43715</v>
      </c>
      <c r="R650" t="str">
        <v>SI</v>
      </c>
    </row>
    <row r="651" spans="1:18" x14ac:dyDescent="0.25">
      <c r="A651" s="2">
        <v>650</v>
      </c>
      <c r="B651" t="s">
        <v>11</v>
      </c>
      <c r="C651" t="s">
        <v>24</v>
      </c>
      <c r="D651" t="s">
        <v>9</v>
      </c>
      <c r="E651" s="3">
        <v>300</v>
      </c>
      <c r="F651" s="4">
        <v>43640</v>
      </c>
      <c r="G651" s="2" t="s">
        <v>26</v>
      </c>
      <c r="L651">
        <v>4</v>
      </c>
      <c r="M651" t="str">
        <v>PROGRAMA</v>
      </c>
      <c r="N651" t="str">
        <v>CLIENTE-0007</v>
      </c>
      <c r="O651" t="str">
        <v>BARCELONA</v>
      </c>
      <c r="P651">
        <v>4500</v>
      </c>
      <c r="Q651">
        <v>43909</v>
      </c>
      <c r="R651" t="str">
        <v>SI</v>
      </c>
    </row>
    <row r="652" spans="1:18" x14ac:dyDescent="0.25">
      <c r="A652" s="2">
        <v>651</v>
      </c>
      <c r="B652" t="s">
        <v>14</v>
      </c>
      <c r="C652" t="s">
        <v>8</v>
      </c>
      <c r="D652" t="s">
        <v>9</v>
      </c>
      <c r="E652" s="3">
        <v>200</v>
      </c>
      <c r="F652" s="4">
        <v>43616</v>
      </c>
      <c r="G652" s="2" t="s">
        <v>10</v>
      </c>
      <c r="L652">
        <v>27</v>
      </c>
      <c r="M652" t="str">
        <v>PROYECTO</v>
      </c>
      <c r="N652" t="str">
        <v>CLIENTE-0005</v>
      </c>
      <c r="O652" t="str">
        <v>BARCELONA</v>
      </c>
      <c r="P652">
        <v>4500</v>
      </c>
      <c r="Q652">
        <v>44350</v>
      </c>
      <c r="R652" t="str">
        <v>SI</v>
      </c>
    </row>
    <row r="653" spans="1:18" x14ac:dyDescent="0.25">
      <c r="A653" s="2">
        <v>652</v>
      </c>
      <c r="B653" t="s">
        <v>16</v>
      </c>
      <c r="C653" t="s">
        <v>24</v>
      </c>
      <c r="D653" t="s">
        <v>9</v>
      </c>
      <c r="E653" s="3">
        <v>150</v>
      </c>
      <c r="F653" s="4">
        <v>43789</v>
      </c>
      <c r="G653" s="2" t="s">
        <v>10</v>
      </c>
      <c r="L653">
        <v>61</v>
      </c>
      <c r="M653" t="str">
        <v>PROYECTO</v>
      </c>
      <c r="N653" t="str">
        <v>CLIENTE-0001</v>
      </c>
      <c r="O653" t="str">
        <v>MADRID</v>
      </c>
      <c r="P653">
        <v>4500</v>
      </c>
      <c r="Q653">
        <v>44327</v>
      </c>
      <c r="R653" t="str">
        <v>NO</v>
      </c>
    </row>
    <row r="654" spans="1:18" x14ac:dyDescent="0.25">
      <c r="A654" s="2">
        <v>653</v>
      </c>
      <c r="B654" t="s">
        <v>18</v>
      </c>
      <c r="C654" t="s">
        <v>25</v>
      </c>
      <c r="D654" t="s">
        <v>9</v>
      </c>
      <c r="E654" s="3">
        <v>120</v>
      </c>
      <c r="F654" s="4">
        <v>44334</v>
      </c>
      <c r="G654" s="2" t="s">
        <v>10</v>
      </c>
      <c r="L654">
        <v>73</v>
      </c>
      <c r="M654" t="str">
        <v>PROGRAMA</v>
      </c>
      <c r="N654" t="str">
        <v>CLIENTE-0005</v>
      </c>
      <c r="O654" t="str">
        <v>BARCELONA</v>
      </c>
      <c r="P654">
        <v>4500</v>
      </c>
      <c r="Q654">
        <v>44004</v>
      </c>
      <c r="R654" t="str">
        <v>SI</v>
      </c>
    </row>
    <row r="655" spans="1:18" x14ac:dyDescent="0.25">
      <c r="A655" s="2">
        <v>654</v>
      </c>
      <c r="B655" t="s">
        <v>20</v>
      </c>
      <c r="C655" t="s">
        <v>24</v>
      </c>
      <c r="D655" t="s">
        <v>9</v>
      </c>
      <c r="E655" s="3">
        <v>300</v>
      </c>
      <c r="F655" s="4">
        <v>44224</v>
      </c>
      <c r="G655" s="2" t="s">
        <v>10</v>
      </c>
      <c r="L655">
        <v>96</v>
      </c>
      <c r="M655" t="str">
        <v>PROYECTO</v>
      </c>
      <c r="N655" t="str">
        <v>CLIENTE-0004</v>
      </c>
      <c r="O655" t="str">
        <v>MADRID</v>
      </c>
      <c r="P655">
        <v>4500</v>
      </c>
      <c r="Q655">
        <v>43752</v>
      </c>
      <c r="R655" t="str">
        <v>SI</v>
      </c>
    </row>
    <row r="656" spans="1:18" x14ac:dyDescent="0.25">
      <c r="A656" s="2">
        <v>655</v>
      </c>
      <c r="B656" t="s">
        <v>7</v>
      </c>
      <c r="C656" t="s">
        <v>25</v>
      </c>
      <c r="D656" t="s">
        <v>9</v>
      </c>
      <c r="E656" s="3">
        <v>350</v>
      </c>
      <c r="F656" s="4">
        <v>43961</v>
      </c>
      <c r="G656" s="2" t="s">
        <v>10</v>
      </c>
      <c r="L656">
        <v>130</v>
      </c>
      <c r="M656" t="str">
        <v>DESARROLLO</v>
      </c>
      <c r="N656" t="str">
        <v>CLIENTE-0005</v>
      </c>
      <c r="O656" t="str">
        <v>BARCELONA</v>
      </c>
      <c r="P656">
        <v>4500</v>
      </c>
      <c r="Q656">
        <v>44173</v>
      </c>
      <c r="R656" t="str">
        <v>SI</v>
      </c>
    </row>
    <row r="657" spans="1:18" x14ac:dyDescent="0.25">
      <c r="A657" s="2">
        <v>656</v>
      </c>
      <c r="B657" t="s">
        <v>11</v>
      </c>
      <c r="C657" t="s">
        <v>27</v>
      </c>
      <c r="D657" t="s">
        <v>22</v>
      </c>
      <c r="E657" s="3">
        <v>300</v>
      </c>
      <c r="F657" s="4">
        <v>43947</v>
      </c>
      <c r="G657" s="2" t="s">
        <v>10</v>
      </c>
      <c r="L657">
        <v>142</v>
      </c>
      <c r="M657" t="str">
        <v>DESARROLLO</v>
      </c>
      <c r="N657" t="str">
        <v>CLIENTE-0005</v>
      </c>
      <c r="O657" t="str">
        <v>BARCELONA</v>
      </c>
      <c r="P657">
        <v>4500</v>
      </c>
      <c r="Q657">
        <v>44254</v>
      </c>
      <c r="R657" t="str">
        <v>NO</v>
      </c>
    </row>
    <row r="658" spans="1:18" x14ac:dyDescent="0.25">
      <c r="A658" s="2">
        <v>657</v>
      </c>
      <c r="B658" t="s">
        <v>14</v>
      </c>
      <c r="C658" t="s">
        <v>24</v>
      </c>
      <c r="D658" t="s">
        <v>9</v>
      </c>
      <c r="E658" s="3">
        <v>120</v>
      </c>
      <c r="F658" s="4">
        <v>44049</v>
      </c>
      <c r="G658" s="2" t="s">
        <v>10</v>
      </c>
      <c r="L658">
        <v>165</v>
      </c>
      <c r="M658" t="str">
        <v>PROYECTO</v>
      </c>
      <c r="N658" t="str">
        <v>CLIENTE-0007</v>
      </c>
      <c r="O658" t="str">
        <v>BARCELONA</v>
      </c>
      <c r="P658">
        <v>4500</v>
      </c>
      <c r="Q658">
        <v>44244</v>
      </c>
      <c r="R658" t="str">
        <v>SI</v>
      </c>
    </row>
    <row r="659" spans="1:18" x14ac:dyDescent="0.25">
      <c r="A659" s="2">
        <v>658</v>
      </c>
      <c r="B659" t="s">
        <v>16</v>
      </c>
      <c r="C659" t="s">
        <v>8</v>
      </c>
      <c r="D659" t="s">
        <v>9</v>
      </c>
      <c r="E659" s="3">
        <v>150</v>
      </c>
      <c r="F659" s="4">
        <v>43830</v>
      </c>
      <c r="G659" s="2" t="s">
        <v>10</v>
      </c>
      <c r="L659">
        <v>199</v>
      </c>
      <c r="M659" t="str">
        <v>DESARROLLO</v>
      </c>
      <c r="N659" t="str">
        <v>CLIENTE-0009</v>
      </c>
      <c r="O659" t="str">
        <v>ALICANTE</v>
      </c>
      <c r="P659">
        <v>4500</v>
      </c>
      <c r="Q659">
        <v>43504</v>
      </c>
      <c r="R659" t="str">
        <v>SI</v>
      </c>
    </row>
    <row r="660" spans="1:18" x14ac:dyDescent="0.25">
      <c r="A660" s="2">
        <v>659</v>
      </c>
      <c r="B660" t="s">
        <v>18</v>
      </c>
      <c r="C660" t="s">
        <v>12</v>
      </c>
      <c r="D660" t="s">
        <v>13</v>
      </c>
      <c r="E660" s="3">
        <v>8500</v>
      </c>
      <c r="F660" s="4">
        <v>43723</v>
      </c>
      <c r="G660" s="2" t="s">
        <v>10</v>
      </c>
      <c r="L660">
        <v>211</v>
      </c>
      <c r="M660" t="str">
        <v>CONSULTORIA</v>
      </c>
      <c r="N660" t="str">
        <v>CLIENTE-0001</v>
      </c>
      <c r="O660" t="str">
        <v>MADRID</v>
      </c>
      <c r="P660">
        <v>4500</v>
      </c>
      <c r="Q660">
        <v>43560</v>
      </c>
      <c r="R660" t="str">
        <v>NO</v>
      </c>
    </row>
    <row r="661" spans="1:18" x14ac:dyDescent="0.25">
      <c r="A661" s="2">
        <v>660</v>
      </c>
      <c r="B661" t="s">
        <v>20</v>
      </c>
      <c r="C661" t="s">
        <v>12</v>
      </c>
      <c r="D661" t="s">
        <v>13</v>
      </c>
      <c r="E661" s="3">
        <v>1200</v>
      </c>
      <c r="F661" s="4">
        <v>44222</v>
      </c>
      <c r="G661" s="2" t="s">
        <v>10</v>
      </c>
      <c r="L661">
        <v>234</v>
      </c>
      <c r="M661" t="str">
        <v>FORMACION</v>
      </c>
      <c r="N661" t="str">
        <v>CLIENTE-0001</v>
      </c>
      <c r="O661" t="str">
        <v>MADRID</v>
      </c>
      <c r="P661">
        <v>4500</v>
      </c>
      <c r="Q661">
        <v>43935</v>
      </c>
      <c r="R661" t="str">
        <v>SI</v>
      </c>
    </row>
    <row r="662" spans="1:18" x14ac:dyDescent="0.25">
      <c r="A662" s="2">
        <v>661</v>
      </c>
      <c r="B662" t="s">
        <v>7</v>
      </c>
      <c r="C662" t="s">
        <v>15</v>
      </c>
      <c r="D662" t="s">
        <v>13</v>
      </c>
      <c r="E662" s="3">
        <v>300</v>
      </c>
      <c r="F662" s="4">
        <v>43835</v>
      </c>
      <c r="G662" s="2" t="s">
        <v>10</v>
      </c>
      <c r="L662">
        <v>268</v>
      </c>
      <c r="M662" t="str">
        <v>PROGRAMA</v>
      </c>
      <c r="N662" t="str">
        <v>CLIENTE-0001</v>
      </c>
      <c r="O662" t="str">
        <v>MADRID</v>
      </c>
      <c r="P662">
        <v>4500</v>
      </c>
      <c r="Q662">
        <v>44506</v>
      </c>
      <c r="R662" t="str">
        <v>SI</v>
      </c>
    </row>
    <row r="663" spans="1:18" x14ac:dyDescent="0.25">
      <c r="A663" s="2">
        <v>662</v>
      </c>
      <c r="B663" t="s">
        <v>11</v>
      </c>
      <c r="C663" t="s">
        <v>17</v>
      </c>
      <c r="D663" t="s">
        <v>13</v>
      </c>
      <c r="E663" s="3">
        <v>200</v>
      </c>
      <c r="F663" s="4">
        <v>44106</v>
      </c>
      <c r="G663" s="2" t="s">
        <v>10</v>
      </c>
      <c r="L663">
        <v>277</v>
      </c>
      <c r="M663" t="str">
        <v>DESARROLLO</v>
      </c>
      <c r="N663" t="str">
        <v>CLIENTE-0008</v>
      </c>
      <c r="O663" t="str">
        <v>ALICANTE</v>
      </c>
      <c r="P663">
        <v>4500</v>
      </c>
      <c r="Q663">
        <v>43824</v>
      </c>
      <c r="R663" t="str">
        <v>NO</v>
      </c>
    </row>
    <row r="664" spans="1:18" x14ac:dyDescent="0.25">
      <c r="A664" s="2">
        <v>663</v>
      </c>
      <c r="B664" t="s">
        <v>14</v>
      </c>
      <c r="C664" t="s">
        <v>21</v>
      </c>
      <c r="D664" t="s">
        <v>22</v>
      </c>
      <c r="E664" s="3">
        <v>150</v>
      </c>
      <c r="F664" s="4">
        <v>44433</v>
      </c>
      <c r="G664" s="2" t="s">
        <v>10</v>
      </c>
      <c r="L664">
        <v>311</v>
      </c>
      <c r="M664" t="str">
        <v>CONSULTORIA</v>
      </c>
      <c r="N664" t="str">
        <v>CLIENTE-0002</v>
      </c>
      <c r="O664" t="str">
        <v>ALICANTE</v>
      </c>
      <c r="P664">
        <v>4500</v>
      </c>
      <c r="Q664">
        <v>44060</v>
      </c>
      <c r="R664" t="str">
        <v>NO</v>
      </c>
    </row>
    <row r="665" spans="1:18" x14ac:dyDescent="0.25">
      <c r="A665" s="2">
        <v>664</v>
      </c>
      <c r="B665" t="s">
        <v>16</v>
      </c>
      <c r="C665" t="s">
        <v>23</v>
      </c>
      <c r="D665" t="s">
        <v>22</v>
      </c>
      <c r="E665" s="3">
        <v>120</v>
      </c>
      <c r="F665" s="4">
        <v>44142</v>
      </c>
      <c r="G665" s="2" t="s">
        <v>10</v>
      </c>
      <c r="L665">
        <v>323</v>
      </c>
      <c r="M665" t="str">
        <v>CONSULTORIA</v>
      </c>
      <c r="N665" t="str">
        <v>CLIENTE-0006</v>
      </c>
      <c r="O665" t="str">
        <v>BARCELONA</v>
      </c>
      <c r="P665">
        <v>4500</v>
      </c>
      <c r="Q665">
        <v>43593</v>
      </c>
      <c r="R665" t="str">
        <v>NO</v>
      </c>
    </row>
    <row r="666" spans="1:18" x14ac:dyDescent="0.25">
      <c r="A666" s="2">
        <v>665</v>
      </c>
      <c r="B666" t="s">
        <v>18</v>
      </c>
      <c r="C666" t="s">
        <v>24</v>
      </c>
      <c r="D666" t="s">
        <v>9</v>
      </c>
      <c r="E666" s="3">
        <v>300</v>
      </c>
      <c r="F666" s="4">
        <v>44075</v>
      </c>
      <c r="G666" s="2" t="s">
        <v>10</v>
      </c>
      <c r="L666">
        <v>346</v>
      </c>
      <c r="M666" t="str">
        <v>DESARROLLO</v>
      </c>
      <c r="N666" t="str">
        <v>CLIENTE-0005</v>
      </c>
      <c r="O666" t="str">
        <v>BARCELONA</v>
      </c>
      <c r="P666">
        <v>4500</v>
      </c>
      <c r="Q666">
        <v>44525</v>
      </c>
      <c r="R666" t="str">
        <v>NO</v>
      </c>
    </row>
    <row r="667" spans="1:18" x14ac:dyDescent="0.25">
      <c r="A667" s="2">
        <v>666</v>
      </c>
      <c r="B667" t="s">
        <v>20</v>
      </c>
      <c r="C667" t="s">
        <v>25</v>
      </c>
      <c r="D667" t="s">
        <v>9</v>
      </c>
      <c r="E667" s="3">
        <v>350</v>
      </c>
      <c r="F667" s="4">
        <v>44257</v>
      </c>
      <c r="G667" s="2" t="s">
        <v>10</v>
      </c>
      <c r="L667">
        <v>388</v>
      </c>
      <c r="M667" t="str">
        <v>PROGRAMA</v>
      </c>
      <c r="N667" t="str">
        <v>CLIENTE-0006</v>
      </c>
      <c r="O667" t="str">
        <v>BARCELONA</v>
      </c>
      <c r="P667">
        <v>4500</v>
      </c>
      <c r="Q667">
        <v>43842</v>
      </c>
      <c r="R667" t="str">
        <v>SI</v>
      </c>
    </row>
    <row r="668" spans="1:18" x14ac:dyDescent="0.25">
      <c r="A668" s="2">
        <v>667</v>
      </c>
      <c r="B668" t="s">
        <v>7</v>
      </c>
      <c r="C668" t="s">
        <v>24</v>
      </c>
      <c r="D668" t="s">
        <v>9</v>
      </c>
      <c r="E668" s="3">
        <v>8500</v>
      </c>
      <c r="F668" s="4">
        <v>44112</v>
      </c>
      <c r="G668" s="2" t="s">
        <v>10</v>
      </c>
      <c r="L668">
        <v>422</v>
      </c>
      <c r="M668" t="str">
        <v>EQUIPOS</v>
      </c>
      <c r="N668" t="str">
        <v>CLIENTE-0002</v>
      </c>
      <c r="O668" t="str">
        <v>ALICANTE</v>
      </c>
      <c r="P668">
        <v>4500</v>
      </c>
      <c r="Q668">
        <v>44211</v>
      </c>
      <c r="R668" t="str">
        <v>SI</v>
      </c>
    </row>
    <row r="669" spans="1:18" x14ac:dyDescent="0.25">
      <c r="A669" s="2">
        <v>668</v>
      </c>
      <c r="B669" t="s">
        <v>14</v>
      </c>
      <c r="C669" t="s">
        <v>25</v>
      </c>
      <c r="D669" t="s">
        <v>9</v>
      </c>
      <c r="E669" s="3">
        <v>1200</v>
      </c>
      <c r="F669" s="4">
        <v>43517</v>
      </c>
      <c r="G669" s="2" t="s">
        <v>10</v>
      </c>
      <c r="L669">
        <v>434</v>
      </c>
      <c r="M669" t="str">
        <v>FORMACION</v>
      </c>
      <c r="N669" t="str">
        <v>CLIENTE-0007</v>
      </c>
      <c r="O669" t="str">
        <v>BARCELONA</v>
      </c>
      <c r="P669">
        <v>4500</v>
      </c>
      <c r="Q669">
        <v>43598</v>
      </c>
      <c r="R669" t="str">
        <v>SI</v>
      </c>
    </row>
    <row r="670" spans="1:18" x14ac:dyDescent="0.25">
      <c r="A670" s="2">
        <v>669</v>
      </c>
      <c r="B670" t="s">
        <v>16</v>
      </c>
      <c r="C670" t="s">
        <v>27</v>
      </c>
      <c r="D670" t="s">
        <v>22</v>
      </c>
      <c r="E670" s="3">
        <v>300</v>
      </c>
      <c r="F670" s="4">
        <v>43661</v>
      </c>
      <c r="G670" s="2" t="s">
        <v>10</v>
      </c>
      <c r="L670">
        <v>457</v>
      </c>
      <c r="M670" t="str">
        <v>EQUIPOS</v>
      </c>
      <c r="N670" t="str">
        <v>CLIENTE-0005</v>
      </c>
      <c r="O670" t="str">
        <v>BARCELONA</v>
      </c>
      <c r="P670">
        <v>4500</v>
      </c>
      <c r="Q670">
        <v>44298</v>
      </c>
      <c r="R670" t="str">
        <v>SI</v>
      </c>
    </row>
    <row r="671" spans="1:18" x14ac:dyDescent="0.25">
      <c r="A671" s="2">
        <v>670</v>
      </c>
      <c r="B671" t="s">
        <v>14</v>
      </c>
      <c r="C671" t="s">
        <v>19</v>
      </c>
      <c r="D671" t="s">
        <v>9</v>
      </c>
      <c r="E671" s="3">
        <v>200</v>
      </c>
      <c r="F671" s="4">
        <v>43646</v>
      </c>
      <c r="G671" s="2" t="s">
        <v>10</v>
      </c>
      <c r="L671">
        <v>491</v>
      </c>
      <c r="M671" t="str">
        <v>EQUIPOS</v>
      </c>
      <c r="N671" t="str">
        <v>CLIENTE-0001</v>
      </c>
      <c r="O671" t="str">
        <v>MADRID</v>
      </c>
      <c r="P671">
        <v>4500</v>
      </c>
      <c r="Q671">
        <v>43756</v>
      </c>
      <c r="R671" t="str">
        <v>SI</v>
      </c>
    </row>
    <row r="672" spans="1:18" x14ac:dyDescent="0.25">
      <c r="A672" s="2">
        <v>671</v>
      </c>
      <c r="B672" t="s">
        <v>16</v>
      </c>
      <c r="C672" t="s">
        <v>8</v>
      </c>
      <c r="D672" t="s">
        <v>9</v>
      </c>
      <c r="E672" s="3">
        <v>150</v>
      </c>
      <c r="F672" s="4">
        <v>44376</v>
      </c>
      <c r="G672" s="2" t="s">
        <v>26</v>
      </c>
      <c r="L672">
        <v>503</v>
      </c>
      <c r="M672" t="str">
        <v>PROYECTO</v>
      </c>
      <c r="N672" t="str">
        <v>CLIENTE-0005</v>
      </c>
      <c r="O672" t="str">
        <v>BARCELONA</v>
      </c>
      <c r="P672">
        <v>4500</v>
      </c>
      <c r="Q672">
        <v>44182</v>
      </c>
      <c r="R672" t="str">
        <v>SI</v>
      </c>
    </row>
    <row r="673" spans="1:18" x14ac:dyDescent="0.25">
      <c r="A673" s="2">
        <v>672</v>
      </c>
      <c r="B673" t="s">
        <v>18</v>
      </c>
      <c r="C673" t="s">
        <v>12</v>
      </c>
      <c r="D673" t="s">
        <v>13</v>
      </c>
      <c r="E673" s="3">
        <v>120</v>
      </c>
      <c r="F673" s="4">
        <v>44219</v>
      </c>
      <c r="G673" s="2" t="s">
        <v>26</v>
      </c>
      <c r="L673">
        <v>526</v>
      </c>
      <c r="M673" t="str">
        <v>CONSULTORIA</v>
      </c>
      <c r="N673" t="str">
        <v>CLIENTE-0004</v>
      </c>
      <c r="O673" t="str">
        <v>MADRID</v>
      </c>
      <c r="P673">
        <v>4500</v>
      </c>
      <c r="Q673">
        <v>43527</v>
      </c>
      <c r="R673" t="str">
        <v>SI</v>
      </c>
    </row>
    <row r="674" spans="1:18" x14ac:dyDescent="0.25">
      <c r="A674" s="2">
        <v>673</v>
      </c>
      <c r="B674" t="s">
        <v>20</v>
      </c>
      <c r="C674" t="s">
        <v>15</v>
      </c>
      <c r="D674" t="s">
        <v>13</v>
      </c>
      <c r="E674" s="3">
        <v>300</v>
      </c>
      <c r="F674" s="4">
        <v>43918</v>
      </c>
      <c r="G674" s="2" t="s">
        <v>26</v>
      </c>
      <c r="L674">
        <v>560</v>
      </c>
      <c r="M674" t="str">
        <v>CONSULTORIA</v>
      </c>
      <c r="N674" t="str">
        <v>CLIENTE-0005</v>
      </c>
      <c r="O674" t="str">
        <v>BARCELONA</v>
      </c>
      <c r="P674">
        <v>4500</v>
      </c>
      <c r="Q674">
        <v>44062</v>
      </c>
      <c r="R674" t="str">
        <v>SI</v>
      </c>
    </row>
    <row r="675" spans="1:18" x14ac:dyDescent="0.25">
      <c r="A675" s="2">
        <v>674</v>
      </c>
      <c r="B675" t="s">
        <v>7</v>
      </c>
      <c r="C675" t="s">
        <v>17</v>
      </c>
      <c r="D675" t="s">
        <v>13</v>
      </c>
      <c r="E675" s="3">
        <v>350</v>
      </c>
      <c r="F675" s="4">
        <v>44342</v>
      </c>
      <c r="G675" s="2" t="s">
        <v>26</v>
      </c>
      <c r="L675">
        <v>572</v>
      </c>
      <c r="M675" t="str">
        <v>CONSULTORIA</v>
      </c>
      <c r="N675" t="str">
        <v>CLIENTE-0009</v>
      </c>
      <c r="O675" t="str">
        <v>ALICANTE</v>
      </c>
      <c r="P675">
        <v>4500</v>
      </c>
      <c r="Q675">
        <v>44391</v>
      </c>
      <c r="R675" t="str">
        <v>SI</v>
      </c>
    </row>
    <row r="676" spans="1:18" x14ac:dyDescent="0.25">
      <c r="A676" s="2">
        <v>675</v>
      </c>
      <c r="B676" t="s">
        <v>11</v>
      </c>
      <c r="C676" t="s">
        <v>21</v>
      </c>
      <c r="D676" t="s">
        <v>22</v>
      </c>
      <c r="E676" s="3">
        <v>300</v>
      </c>
      <c r="F676" s="4">
        <v>43813</v>
      </c>
      <c r="G676" s="2" t="s">
        <v>26</v>
      </c>
      <c r="L676">
        <v>595</v>
      </c>
      <c r="M676" t="str">
        <v>CONSULTORIA</v>
      </c>
      <c r="N676" t="str">
        <v>CLIENTE-0010</v>
      </c>
      <c r="O676" t="str">
        <v>MADRID</v>
      </c>
      <c r="P676">
        <v>4500</v>
      </c>
      <c r="Q676">
        <v>44184</v>
      </c>
      <c r="R676" t="str">
        <v>SI</v>
      </c>
    </row>
    <row r="677" spans="1:18" x14ac:dyDescent="0.25">
      <c r="A677" s="2">
        <v>676</v>
      </c>
      <c r="B677" t="s">
        <v>14</v>
      </c>
      <c r="C677" t="s">
        <v>23</v>
      </c>
      <c r="D677" t="s">
        <v>22</v>
      </c>
      <c r="E677" s="3">
        <v>120</v>
      </c>
      <c r="F677" s="4">
        <v>44215</v>
      </c>
      <c r="G677" s="2" t="s">
        <v>26</v>
      </c>
      <c r="L677">
        <v>629</v>
      </c>
      <c r="M677" t="str">
        <v>EQUIPOS</v>
      </c>
      <c r="N677" t="str">
        <v>CLIENTE-0009</v>
      </c>
      <c r="O677" t="str">
        <v>ALICANTE</v>
      </c>
      <c r="P677">
        <v>4500</v>
      </c>
      <c r="Q677">
        <v>43683</v>
      </c>
      <c r="R677" t="str">
        <v>SI</v>
      </c>
    </row>
    <row r="678" spans="1:18" x14ac:dyDescent="0.25">
      <c r="A678" s="2">
        <v>677</v>
      </c>
      <c r="B678" t="s">
        <v>20</v>
      </c>
      <c r="C678" t="s">
        <v>24</v>
      </c>
      <c r="D678" t="s">
        <v>9</v>
      </c>
      <c r="E678" s="3">
        <v>150</v>
      </c>
      <c r="F678" s="4">
        <v>43742</v>
      </c>
      <c r="G678" s="2" t="s">
        <v>26</v>
      </c>
      <c r="L678">
        <v>639</v>
      </c>
      <c r="M678" t="str">
        <v>DESARROLLO</v>
      </c>
      <c r="N678" t="str">
        <v>CLIENTE-0001</v>
      </c>
      <c r="O678" t="str">
        <v>MADRID</v>
      </c>
      <c r="P678">
        <v>4500</v>
      </c>
      <c r="Q678">
        <v>43510</v>
      </c>
      <c r="R678" t="str">
        <v>SI</v>
      </c>
    </row>
    <row r="679" spans="1:18" x14ac:dyDescent="0.25">
      <c r="A679" s="2">
        <v>678</v>
      </c>
      <c r="B679" t="s">
        <v>7</v>
      </c>
      <c r="C679" t="s">
        <v>8</v>
      </c>
      <c r="D679" t="s">
        <v>9</v>
      </c>
      <c r="E679" s="3">
        <v>1200</v>
      </c>
      <c r="F679" s="4">
        <v>43468</v>
      </c>
      <c r="G679" s="2" t="s">
        <v>10</v>
      </c>
      <c r="L679">
        <v>681</v>
      </c>
      <c r="M679" t="str">
        <v>PROGRAMA</v>
      </c>
      <c r="N679" t="str">
        <v>CLIENTE-0007</v>
      </c>
      <c r="O679" t="str">
        <v>BARCELONA</v>
      </c>
      <c r="P679">
        <v>4500</v>
      </c>
      <c r="Q679">
        <v>43796</v>
      </c>
      <c r="R679" t="str">
        <v>SI</v>
      </c>
    </row>
    <row r="680" spans="1:18" x14ac:dyDescent="0.25">
      <c r="A680" s="2">
        <v>679</v>
      </c>
      <c r="B680" t="s">
        <v>11</v>
      </c>
      <c r="C680" t="s">
        <v>12</v>
      </c>
      <c r="D680" t="s">
        <v>13</v>
      </c>
      <c r="E680" s="3">
        <v>800</v>
      </c>
      <c r="F680" s="4">
        <v>44067</v>
      </c>
      <c r="G680" s="2" t="s">
        <v>10</v>
      </c>
      <c r="L680">
        <v>715</v>
      </c>
      <c r="M680" t="str">
        <v>PROGRAMA</v>
      </c>
      <c r="N680" t="str">
        <v>CLIENTE-0003</v>
      </c>
      <c r="O680" t="str">
        <v>MADRID</v>
      </c>
      <c r="P680">
        <v>4500</v>
      </c>
      <c r="Q680">
        <v>44003</v>
      </c>
      <c r="R680" t="str">
        <v>NO</v>
      </c>
    </row>
    <row r="681" spans="1:18" x14ac:dyDescent="0.25">
      <c r="A681" s="2">
        <v>680</v>
      </c>
      <c r="B681" t="s">
        <v>14</v>
      </c>
      <c r="C681" t="s">
        <v>15</v>
      </c>
      <c r="D681" t="s">
        <v>13</v>
      </c>
      <c r="E681" s="3">
        <v>750</v>
      </c>
      <c r="F681" s="4">
        <v>43646</v>
      </c>
      <c r="G681" s="2" t="s">
        <v>10</v>
      </c>
      <c r="L681">
        <v>727</v>
      </c>
      <c r="M681" t="str">
        <v>PROGRAMA</v>
      </c>
      <c r="N681" t="str">
        <v>CLIENTE-0003</v>
      </c>
      <c r="O681" t="str">
        <v>MADRID</v>
      </c>
      <c r="P681">
        <v>4500</v>
      </c>
      <c r="Q681">
        <v>44271</v>
      </c>
      <c r="R681" t="str">
        <v>SI</v>
      </c>
    </row>
    <row r="682" spans="1:18" x14ac:dyDescent="0.25">
      <c r="A682" s="2">
        <v>681</v>
      </c>
      <c r="B682" t="s">
        <v>16</v>
      </c>
      <c r="C682" t="s">
        <v>17</v>
      </c>
      <c r="D682" t="s">
        <v>13</v>
      </c>
      <c r="E682" s="3">
        <v>4500</v>
      </c>
      <c r="F682" s="4">
        <v>43796</v>
      </c>
      <c r="G682" s="2" t="s">
        <v>10</v>
      </c>
      <c r="L682">
        <v>746</v>
      </c>
      <c r="M682" t="str">
        <v>CONSULTORIA</v>
      </c>
      <c r="N682" t="str">
        <v>CLIENTE-0005</v>
      </c>
      <c r="O682" t="str">
        <v>BARCELONA</v>
      </c>
      <c r="P682">
        <v>4500</v>
      </c>
      <c r="Q682">
        <v>44038</v>
      </c>
      <c r="R682" t="str">
        <v>NO</v>
      </c>
    </row>
    <row r="683" spans="1:18" x14ac:dyDescent="0.25">
      <c r="A683" s="2">
        <v>682</v>
      </c>
      <c r="B683" t="s">
        <v>18</v>
      </c>
      <c r="C683" t="s">
        <v>19</v>
      </c>
      <c r="D683" t="s">
        <v>9</v>
      </c>
      <c r="E683" s="3">
        <v>500</v>
      </c>
      <c r="F683" s="4">
        <v>44079</v>
      </c>
      <c r="G683" s="2" t="s">
        <v>10</v>
      </c>
      <c r="L683">
        <v>11</v>
      </c>
      <c r="M683" t="str">
        <v>FORMACION</v>
      </c>
      <c r="N683" t="str">
        <v>CLIENTE-0008</v>
      </c>
      <c r="O683" t="str">
        <v>ALICANTE</v>
      </c>
      <c r="P683">
        <v>5000</v>
      </c>
      <c r="Q683">
        <v>44050</v>
      </c>
      <c r="R683" t="str">
        <v>SI</v>
      </c>
    </row>
    <row r="684" spans="1:18" x14ac:dyDescent="0.25">
      <c r="A684" s="2">
        <v>683</v>
      </c>
      <c r="B684" t="s">
        <v>20</v>
      </c>
      <c r="C684" t="s">
        <v>8</v>
      </c>
      <c r="D684" t="s">
        <v>9</v>
      </c>
      <c r="E684" s="3">
        <v>750</v>
      </c>
      <c r="F684" s="4">
        <v>44470</v>
      </c>
      <c r="G684" s="2" t="s">
        <v>10</v>
      </c>
      <c r="L684">
        <v>34</v>
      </c>
      <c r="M684" t="str">
        <v>EQUIPOS</v>
      </c>
      <c r="N684" t="str">
        <v>CLIENTE-0001</v>
      </c>
      <c r="O684" t="str">
        <v>MADRID</v>
      </c>
      <c r="P684">
        <v>5000</v>
      </c>
      <c r="Q684">
        <v>44466</v>
      </c>
      <c r="R684" t="str">
        <v>SI</v>
      </c>
    </row>
    <row r="685" spans="1:18" x14ac:dyDescent="0.25">
      <c r="A685" s="2">
        <v>684</v>
      </c>
      <c r="B685" t="s">
        <v>7</v>
      </c>
      <c r="C685" t="s">
        <v>12</v>
      </c>
      <c r="D685" t="s">
        <v>13</v>
      </c>
      <c r="E685" s="3">
        <v>950</v>
      </c>
      <c r="F685" s="4">
        <v>43923</v>
      </c>
      <c r="G685" s="2" t="s">
        <v>10</v>
      </c>
      <c r="L685">
        <v>68</v>
      </c>
      <c r="M685" t="str">
        <v>EQUIPOS</v>
      </c>
      <c r="N685" t="str">
        <v>CLIENTE-0008</v>
      </c>
      <c r="O685" t="str">
        <v>ALICANTE</v>
      </c>
      <c r="P685">
        <v>5000</v>
      </c>
      <c r="Q685">
        <v>43942</v>
      </c>
      <c r="R685" t="str">
        <v>SI</v>
      </c>
    </row>
    <row r="686" spans="1:18" x14ac:dyDescent="0.25">
      <c r="A686" s="2">
        <v>685</v>
      </c>
      <c r="B686" t="s">
        <v>11</v>
      </c>
      <c r="C686" t="s">
        <v>12</v>
      </c>
      <c r="D686" t="s">
        <v>13</v>
      </c>
      <c r="E686" s="3">
        <v>680</v>
      </c>
      <c r="F686" s="4">
        <v>43553</v>
      </c>
      <c r="G686" s="2" t="s">
        <v>10</v>
      </c>
      <c r="L686">
        <v>80</v>
      </c>
      <c r="M686" t="str">
        <v>FORMACION</v>
      </c>
      <c r="N686" t="str">
        <v>CLIENTE-0010</v>
      </c>
      <c r="O686" t="str">
        <v>MADRID</v>
      </c>
      <c r="P686">
        <v>5000</v>
      </c>
      <c r="Q686">
        <v>44287</v>
      </c>
      <c r="R686" t="str">
        <v>SI</v>
      </c>
    </row>
    <row r="687" spans="1:18" x14ac:dyDescent="0.25">
      <c r="A687" s="2">
        <v>686</v>
      </c>
      <c r="B687" t="s">
        <v>14</v>
      </c>
      <c r="C687" t="s">
        <v>15</v>
      </c>
      <c r="D687" t="s">
        <v>13</v>
      </c>
      <c r="E687" s="3">
        <v>950</v>
      </c>
      <c r="F687" s="4">
        <v>43660</v>
      </c>
      <c r="G687" s="2" t="s">
        <v>10</v>
      </c>
      <c r="L687">
        <v>103</v>
      </c>
      <c r="M687" t="str">
        <v>EQUIPOS</v>
      </c>
      <c r="N687" t="str">
        <v>CLIENTE-0010</v>
      </c>
      <c r="O687" t="str">
        <v>MADRID</v>
      </c>
      <c r="P687">
        <v>5000</v>
      </c>
      <c r="Q687">
        <v>43869</v>
      </c>
      <c r="R687" t="str">
        <v>SI</v>
      </c>
    </row>
    <row r="688" spans="1:18" x14ac:dyDescent="0.25">
      <c r="A688" s="2">
        <v>687</v>
      </c>
      <c r="B688" t="s">
        <v>16</v>
      </c>
      <c r="C688" t="s">
        <v>17</v>
      </c>
      <c r="D688" t="s">
        <v>13</v>
      </c>
      <c r="E688" s="3">
        <v>1500</v>
      </c>
      <c r="F688" s="4">
        <v>44087</v>
      </c>
      <c r="G688" s="2" t="s">
        <v>10</v>
      </c>
      <c r="L688">
        <v>137</v>
      </c>
      <c r="M688" t="str">
        <v>PROYECTO</v>
      </c>
      <c r="N688" t="str">
        <v>CLIENTE-0005</v>
      </c>
      <c r="O688" t="str">
        <v>BARCELONA</v>
      </c>
      <c r="P688">
        <v>5000</v>
      </c>
      <c r="Q688">
        <v>44195</v>
      </c>
      <c r="R688" t="str">
        <v>SI</v>
      </c>
    </row>
    <row r="689" spans="1:18" x14ac:dyDescent="0.25">
      <c r="A689" s="2">
        <v>688</v>
      </c>
      <c r="B689" t="s">
        <v>18</v>
      </c>
      <c r="C689" t="s">
        <v>21</v>
      </c>
      <c r="D689" t="s">
        <v>22</v>
      </c>
      <c r="E689" s="3">
        <v>5000</v>
      </c>
      <c r="F689" s="4">
        <v>44312</v>
      </c>
      <c r="G689" s="2" t="s">
        <v>10</v>
      </c>
      <c r="L689">
        <v>149</v>
      </c>
      <c r="M689" t="str">
        <v>PROYECTO</v>
      </c>
      <c r="N689" t="str">
        <v>CLIENTE-0001</v>
      </c>
      <c r="O689" t="str">
        <v>MADRID</v>
      </c>
      <c r="P689">
        <v>5000</v>
      </c>
      <c r="Q689">
        <v>44273</v>
      </c>
      <c r="R689" t="str">
        <v>SI</v>
      </c>
    </row>
    <row r="690" spans="1:18" x14ac:dyDescent="0.25">
      <c r="A690" s="2">
        <v>689</v>
      </c>
      <c r="B690" t="s">
        <v>20</v>
      </c>
      <c r="C690" t="s">
        <v>23</v>
      </c>
      <c r="D690" t="s">
        <v>22</v>
      </c>
      <c r="E690" s="3">
        <v>6500</v>
      </c>
      <c r="F690" s="4">
        <v>43585</v>
      </c>
      <c r="G690" s="2" t="s">
        <v>10</v>
      </c>
      <c r="L690">
        <v>172</v>
      </c>
      <c r="M690" t="str">
        <v>EQUIPOS</v>
      </c>
      <c r="N690" t="str">
        <v>CLIENTE-0002</v>
      </c>
      <c r="O690" t="str">
        <v>ALICANTE</v>
      </c>
      <c r="P690">
        <v>5000</v>
      </c>
      <c r="Q690">
        <v>43822</v>
      </c>
      <c r="R690" t="str">
        <v>SI</v>
      </c>
    </row>
    <row r="691" spans="1:18" x14ac:dyDescent="0.25">
      <c r="A691" s="2">
        <v>690</v>
      </c>
      <c r="B691" t="s">
        <v>7</v>
      </c>
      <c r="C691" t="s">
        <v>24</v>
      </c>
      <c r="D691" t="s">
        <v>9</v>
      </c>
      <c r="E691" s="3">
        <v>8500</v>
      </c>
      <c r="F691" s="4">
        <v>43910</v>
      </c>
      <c r="G691" s="2" t="s">
        <v>10</v>
      </c>
      <c r="L691">
        <v>206</v>
      </c>
      <c r="M691" t="str">
        <v>FORMACION</v>
      </c>
      <c r="N691" t="str">
        <v>CLIENTE-0008</v>
      </c>
      <c r="O691" t="str">
        <v>ALICANTE</v>
      </c>
      <c r="P691">
        <v>5000</v>
      </c>
      <c r="Q691">
        <v>43782</v>
      </c>
      <c r="R691" t="str">
        <v>SI</v>
      </c>
    </row>
    <row r="692" spans="1:18" x14ac:dyDescent="0.25">
      <c r="A692" s="2">
        <v>691</v>
      </c>
      <c r="B692" t="s">
        <v>11</v>
      </c>
      <c r="C692" t="s">
        <v>25</v>
      </c>
      <c r="D692" t="s">
        <v>9</v>
      </c>
      <c r="E692" s="3">
        <v>1200</v>
      </c>
      <c r="F692" s="4">
        <v>44476</v>
      </c>
      <c r="G692" s="2" t="s">
        <v>10</v>
      </c>
      <c r="L692">
        <v>218</v>
      </c>
      <c r="M692" t="str">
        <v>DESARROLLO</v>
      </c>
      <c r="N692" t="str">
        <v>CLIENTE-0008</v>
      </c>
      <c r="O692" t="str">
        <v>ALICANTE</v>
      </c>
      <c r="P692">
        <v>5000</v>
      </c>
      <c r="Q692">
        <v>43813</v>
      </c>
      <c r="R692" t="str">
        <v>SI</v>
      </c>
    </row>
    <row r="693" spans="1:18" x14ac:dyDescent="0.25">
      <c r="A693" s="2">
        <v>692</v>
      </c>
      <c r="B693" t="s">
        <v>14</v>
      </c>
      <c r="C693" t="s">
        <v>24</v>
      </c>
      <c r="D693" t="s">
        <v>9</v>
      </c>
      <c r="E693" s="3">
        <v>300</v>
      </c>
      <c r="F693" s="4">
        <v>43485</v>
      </c>
      <c r="G693" s="2" t="s">
        <v>10</v>
      </c>
      <c r="L693">
        <v>241</v>
      </c>
      <c r="M693" t="str">
        <v>CONSULTORIA</v>
      </c>
      <c r="N693" t="str">
        <v>CLIENTE-0006</v>
      </c>
      <c r="O693" t="str">
        <v>BARCELONA</v>
      </c>
      <c r="P693">
        <v>5000</v>
      </c>
      <c r="Q693">
        <v>44340</v>
      </c>
      <c r="R693" t="str">
        <v>SI</v>
      </c>
    </row>
    <row r="694" spans="1:18" x14ac:dyDescent="0.25">
      <c r="A694" s="2">
        <v>693</v>
      </c>
      <c r="B694" t="s">
        <v>16</v>
      </c>
      <c r="C694" t="s">
        <v>25</v>
      </c>
      <c r="D694" t="s">
        <v>9</v>
      </c>
      <c r="E694" s="3">
        <v>200</v>
      </c>
      <c r="F694" s="4">
        <v>43582</v>
      </c>
      <c r="G694" s="2" t="s">
        <v>10</v>
      </c>
      <c r="L694">
        <v>275</v>
      </c>
      <c r="M694" t="str">
        <v>FORMACION</v>
      </c>
      <c r="N694" t="str">
        <v>CLIENTE-0006</v>
      </c>
      <c r="O694" t="str">
        <v>BARCELONA</v>
      </c>
      <c r="P694">
        <v>5000</v>
      </c>
      <c r="Q694">
        <v>43578</v>
      </c>
      <c r="R694" t="str">
        <v>SI</v>
      </c>
    </row>
    <row r="695" spans="1:18" x14ac:dyDescent="0.25">
      <c r="A695" s="2">
        <v>694</v>
      </c>
      <c r="B695" t="s">
        <v>18</v>
      </c>
      <c r="C695" t="s">
        <v>27</v>
      </c>
      <c r="D695" t="s">
        <v>22</v>
      </c>
      <c r="E695" s="3">
        <v>150</v>
      </c>
      <c r="F695" s="4">
        <v>44460</v>
      </c>
      <c r="G695" s="2" t="s">
        <v>10</v>
      </c>
      <c r="L695">
        <v>284</v>
      </c>
      <c r="M695" t="str">
        <v>PROGRAMA</v>
      </c>
      <c r="N695" t="str">
        <v>CLIENTE-0007</v>
      </c>
      <c r="O695" t="str">
        <v>BARCELONA</v>
      </c>
      <c r="P695">
        <v>5000</v>
      </c>
      <c r="Q695">
        <v>43948</v>
      </c>
      <c r="R695" t="str">
        <v>SI</v>
      </c>
    </row>
    <row r="696" spans="1:18" x14ac:dyDescent="0.25">
      <c r="A696" s="2">
        <v>695</v>
      </c>
      <c r="B696" t="s">
        <v>20</v>
      </c>
      <c r="C696" t="s">
        <v>19</v>
      </c>
      <c r="D696" t="s">
        <v>9</v>
      </c>
      <c r="E696" s="3">
        <v>120</v>
      </c>
      <c r="F696" s="4">
        <v>44359</v>
      </c>
      <c r="G696" s="2" t="s">
        <v>10</v>
      </c>
      <c r="L696">
        <v>318</v>
      </c>
      <c r="M696" t="str">
        <v>DESARROLLO</v>
      </c>
      <c r="N696" t="str">
        <v>CLIENTE-0009</v>
      </c>
      <c r="O696" t="str">
        <v>ALICANTE</v>
      </c>
      <c r="P696">
        <v>5000</v>
      </c>
      <c r="Q696">
        <v>43955</v>
      </c>
      <c r="R696" t="str">
        <v>SI</v>
      </c>
    </row>
    <row r="697" spans="1:18" x14ac:dyDescent="0.25">
      <c r="A697" s="2">
        <v>696</v>
      </c>
      <c r="B697" t="s">
        <v>7</v>
      </c>
      <c r="C697" t="s">
        <v>8</v>
      </c>
      <c r="D697" t="s">
        <v>9</v>
      </c>
      <c r="E697" s="3">
        <v>300</v>
      </c>
      <c r="F697" s="4">
        <v>43820</v>
      </c>
      <c r="G697" s="2" t="s">
        <v>10</v>
      </c>
      <c r="L697">
        <v>330</v>
      </c>
      <c r="M697" t="str">
        <v>DESARROLLO</v>
      </c>
      <c r="N697" t="str">
        <v>CLIENTE-0001</v>
      </c>
      <c r="O697" t="str">
        <v>MADRID</v>
      </c>
      <c r="P697">
        <v>5000</v>
      </c>
      <c r="Q697">
        <v>44459</v>
      </c>
      <c r="R697" t="str">
        <v>SI</v>
      </c>
    </row>
    <row r="698" spans="1:18" x14ac:dyDescent="0.25">
      <c r="A698" s="2">
        <v>697</v>
      </c>
      <c r="B698" t="s">
        <v>11</v>
      </c>
      <c r="C698" t="s">
        <v>12</v>
      </c>
      <c r="D698" t="s">
        <v>13</v>
      </c>
      <c r="E698" s="3">
        <v>350</v>
      </c>
      <c r="F698" s="4">
        <v>44518</v>
      </c>
      <c r="G698" s="2" t="s">
        <v>10</v>
      </c>
      <c r="L698">
        <v>353</v>
      </c>
      <c r="M698" t="str">
        <v>EQUIPOS</v>
      </c>
      <c r="N698" t="str">
        <v>CLIENTE-0001</v>
      </c>
      <c r="O698" t="str">
        <v>MADRID</v>
      </c>
      <c r="P698">
        <v>5000</v>
      </c>
      <c r="Q698">
        <v>44172</v>
      </c>
      <c r="R698" t="str">
        <v>SI</v>
      </c>
    </row>
    <row r="699" spans="1:18" x14ac:dyDescent="0.25">
      <c r="A699" s="2">
        <v>698</v>
      </c>
      <c r="B699" t="s">
        <v>14</v>
      </c>
      <c r="C699" t="s">
        <v>15</v>
      </c>
      <c r="D699" t="s">
        <v>13</v>
      </c>
      <c r="E699" s="3">
        <v>300</v>
      </c>
      <c r="F699" s="4">
        <v>44398</v>
      </c>
      <c r="G699" s="2" t="s">
        <v>10</v>
      </c>
      <c r="L699">
        <v>395</v>
      </c>
      <c r="M699" t="str">
        <v>DESARROLLO</v>
      </c>
      <c r="N699" t="str">
        <v>CLIENTE-0007</v>
      </c>
      <c r="O699" t="str">
        <v>BARCELONA</v>
      </c>
      <c r="P699">
        <v>5000</v>
      </c>
      <c r="Q699">
        <v>43903</v>
      </c>
      <c r="R699" t="str">
        <v>SI</v>
      </c>
    </row>
    <row r="700" spans="1:18" x14ac:dyDescent="0.25">
      <c r="A700" s="2">
        <v>699</v>
      </c>
      <c r="B700" t="s">
        <v>16</v>
      </c>
      <c r="C700" t="s">
        <v>17</v>
      </c>
      <c r="D700" t="s">
        <v>13</v>
      </c>
      <c r="E700" s="3">
        <v>120</v>
      </c>
      <c r="F700" s="4">
        <v>43964</v>
      </c>
      <c r="G700" s="2" t="s">
        <v>26</v>
      </c>
      <c r="L700">
        <v>429</v>
      </c>
      <c r="M700" t="str">
        <v>CONSULTORIA</v>
      </c>
      <c r="N700" t="str">
        <v>CLIENTE-0009</v>
      </c>
      <c r="O700" t="str">
        <v>ALICANTE</v>
      </c>
      <c r="P700">
        <v>5000</v>
      </c>
      <c r="Q700">
        <v>43934</v>
      </c>
      <c r="R700" t="str">
        <v>SI</v>
      </c>
    </row>
    <row r="701" spans="1:18" x14ac:dyDescent="0.25">
      <c r="A701" s="2">
        <v>700</v>
      </c>
      <c r="B701" t="s">
        <v>18</v>
      </c>
      <c r="C701" t="s">
        <v>21</v>
      </c>
      <c r="D701" t="s">
        <v>22</v>
      </c>
      <c r="E701" s="3">
        <v>150</v>
      </c>
      <c r="F701" s="4">
        <v>43469</v>
      </c>
      <c r="G701" s="2" t="s">
        <v>26</v>
      </c>
      <c r="L701">
        <v>441</v>
      </c>
      <c r="M701" t="str">
        <v>EQUIPOS</v>
      </c>
      <c r="N701" t="str">
        <v>CLIENTE-0008</v>
      </c>
      <c r="O701" t="str">
        <v>ALICANTE</v>
      </c>
      <c r="P701">
        <v>5000</v>
      </c>
      <c r="Q701">
        <v>43977</v>
      </c>
      <c r="R701" t="str">
        <v>NO</v>
      </c>
    </row>
    <row r="702" spans="1:18" x14ac:dyDescent="0.25">
      <c r="A702" s="2">
        <v>701</v>
      </c>
      <c r="B702" t="s">
        <v>20</v>
      </c>
      <c r="C702" t="s">
        <v>23</v>
      </c>
      <c r="D702" t="s">
        <v>22</v>
      </c>
      <c r="E702" s="3">
        <v>8500</v>
      </c>
      <c r="F702" s="4">
        <v>44329</v>
      </c>
      <c r="G702" s="2" t="s">
        <v>26</v>
      </c>
      <c r="L702">
        <v>464</v>
      </c>
      <c r="M702" t="str">
        <v>PROGRAMA</v>
      </c>
      <c r="N702" t="str">
        <v>CLIENTE-0001</v>
      </c>
      <c r="O702" t="str">
        <v>MADRID</v>
      </c>
      <c r="P702">
        <v>5000</v>
      </c>
      <c r="Q702">
        <v>43913</v>
      </c>
      <c r="R702" t="str">
        <v>SI</v>
      </c>
    </row>
    <row r="703" spans="1:18" x14ac:dyDescent="0.25">
      <c r="A703" s="2">
        <v>702</v>
      </c>
      <c r="B703" t="s">
        <v>7</v>
      </c>
      <c r="C703" t="s">
        <v>24</v>
      </c>
      <c r="D703" t="s">
        <v>9</v>
      </c>
      <c r="E703" s="3">
        <v>1200</v>
      </c>
      <c r="F703" s="4">
        <v>44025</v>
      </c>
      <c r="G703" s="2" t="s">
        <v>26</v>
      </c>
      <c r="L703">
        <v>498</v>
      </c>
      <c r="M703" t="str">
        <v>PROGRAMA</v>
      </c>
      <c r="N703" t="str">
        <v>CLIENTE-0008</v>
      </c>
      <c r="O703" t="str">
        <v>ALICANTE</v>
      </c>
      <c r="P703">
        <v>5000</v>
      </c>
      <c r="Q703">
        <v>43663</v>
      </c>
      <c r="R703" t="str">
        <v>SI</v>
      </c>
    </row>
    <row r="704" spans="1:18" x14ac:dyDescent="0.25">
      <c r="A704" s="2">
        <v>703</v>
      </c>
      <c r="B704" t="s">
        <v>11</v>
      </c>
      <c r="C704" t="s">
        <v>8</v>
      </c>
      <c r="D704" t="s">
        <v>9</v>
      </c>
      <c r="E704" s="3">
        <v>300</v>
      </c>
      <c r="F704" s="4">
        <v>44029</v>
      </c>
      <c r="G704" s="2" t="s">
        <v>26</v>
      </c>
      <c r="L704">
        <v>510</v>
      </c>
      <c r="M704" t="str">
        <v>EQUIPOS</v>
      </c>
      <c r="N704" t="str">
        <v>CLIENTE-0010</v>
      </c>
      <c r="O704" t="str">
        <v>MADRID</v>
      </c>
      <c r="P704">
        <v>5000</v>
      </c>
      <c r="Q704">
        <v>43606</v>
      </c>
      <c r="R704" t="str">
        <v>NO</v>
      </c>
    </row>
    <row r="705" spans="1:18" x14ac:dyDescent="0.25">
      <c r="A705" s="2">
        <v>704</v>
      </c>
      <c r="B705" t="s">
        <v>14</v>
      </c>
      <c r="C705" t="s">
        <v>12</v>
      </c>
      <c r="D705" t="s">
        <v>13</v>
      </c>
      <c r="E705" s="3">
        <v>200</v>
      </c>
      <c r="F705" s="4">
        <v>44180</v>
      </c>
      <c r="G705" s="2" t="s">
        <v>26</v>
      </c>
      <c r="L705">
        <v>533</v>
      </c>
      <c r="M705" t="str">
        <v>DESARROLLO</v>
      </c>
      <c r="N705" t="str">
        <v>CLIENTE-0010</v>
      </c>
      <c r="O705" t="str">
        <v>MADRID</v>
      </c>
      <c r="P705">
        <v>5000</v>
      </c>
      <c r="Q705">
        <v>43952</v>
      </c>
      <c r="R705" t="str">
        <v>NO</v>
      </c>
    </row>
    <row r="706" spans="1:18" x14ac:dyDescent="0.25">
      <c r="A706" s="2">
        <v>705</v>
      </c>
      <c r="B706" t="s">
        <v>16</v>
      </c>
      <c r="C706" t="s">
        <v>12</v>
      </c>
      <c r="D706" t="s">
        <v>13</v>
      </c>
      <c r="E706" s="3">
        <v>150</v>
      </c>
      <c r="F706" s="4">
        <v>44283</v>
      </c>
      <c r="G706" s="2" t="s">
        <v>26</v>
      </c>
      <c r="L706">
        <v>567</v>
      </c>
      <c r="M706" t="str">
        <v>DESARROLLO</v>
      </c>
      <c r="N706" t="str">
        <v>CLIENTE-0005</v>
      </c>
      <c r="O706" t="str">
        <v>BARCELONA</v>
      </c>
      <c r="P706">
        <v>5000</v>
      </c>
      <c r="Q706">
        <v>43767</v>
      </c>
      <c r="R706" t="str">
        <v>SI</v>
      </c>
    </row>
    <row r="707" spans="1:18" x14ac:dyDescent="0.25">
      <c r="A707" s="2">
        <v>706</v>
      </c>
      <c r="B707" t="s">
        <v>18</v>
      </c>
      <c r="C707" t="s">
        <v>15</v>
      </c>
      <c r="D707" t="s">
        <v>13</v>
      </c>
      <c r="E707" s="3">
        <v>120</v>
      </c>
      <c r="F707" s="4">
        <v>43840</v>
      </c>
      <c r="G707" s="2" t="s">
        <v>10</v>
      </c>
      <c r="L707">
        <v>579</v>
      </c>
      <c r="M707" t="str">
        <v>DESARROLLO</v>
      </c>
      <c r="N707" t="str">
        <v>CLIENTE-0004</v>
      </c>
      <c r="O707" t="str">
        <v>MADRID</v>
      </c>
      <c r="P707">
        <v>5000</v>
      </c>
      <c r="Q707">
        <v>44254</v>
      </c>
      <c r="R707" t="str">
        <v>NO</v>
      </c>
    </row>
    <row r="708" spans="1:18" x14ac:dyDescent="0.25">
      <c r="A708" s="2">
        <v>707</v>
      </c>
      <c r="B708" t="s">
        <v>20</v>
      </c>
      <c r="C708" t="s">
        <v>17</v>
      </c>
      <c r="D708" t="s">
        <v>13</v>
      </c>
      <c r="E708" s="3">
        <v>300</v>
      </c>
      <c r="F708" s="4">
        <v>44159</v>
      </c>
      <c r="G708" s="2" t="s">
        <v>10</v>
      </c>
      <c r="L708">
        <v>602</v>
      </c>
      <c r="M708" t="str">
        <v>DESARROLLO</v>
      </c>
      <c r="N708" t="str">
        <v>CLIENTE-0007</v>
      </c>
      <c r="O708" t="str">
        <v>BARCELONA</v>
      </c>
      <c r="P708">
        <v>5000</v>
      </c>
      <c r="Q708">
        <v>43542</v>
      </c>
      <c r="R708" t="str">
        <v>SI</v>
      </c>
    </row>
    <row r="709" spans="1:18" x14ac:dyDescent="0.25">
      <c r="A709" s="2">
        <v>708</v>
      </c>
      <c r="B709" t="s">
        <v>7</v>
      </c>
      <c r="C709" t="s">
        <v>21</v>
      </c>
      <c r="D709" t="s">
        <v>22</v>
      </c>
      <c r="E709" s="3">
        <v>350</v>
      </c>
      <c r="F709" s="4">
        <v>43905</v>
      </c>
      <c r="G709" s="2" t="s">
        <v>10</v>
      </c>
      <c r="L709">
        <v>646</v>
      </c>
      <c r="M709" t="str">
        <v>PROYECTO</v>
      </c>
      <c r="N709" t="str">
        <v>CLIENTE-0006</v>
      </c>
      <c r="O709" t="str">
        <v>BARCELONA</v>
      </c>
      <c r="P709">
        <v>5000</v>
      </c>
      <c r="Q709">
        <v>44431</v>
      </c>
      <c r="R709" t="str">
        <v>NO</v>
      </c>
    </row>
    <row r="710" spans="1:18" x14ac:dyDescent="0.25">
      <c r="A710" s="2">
        <v>709</v>
      </c>
      <c r="B710" t="s">
        <v>11</v>
      </c>
      <c r="C710" t="s">
        <v>23</v>
      </c>
      <c r="D710" t="s">
        <v>22</v>
      </c>
      <c r="E710" s="3">
        <v>300</v>
      </c>
      <c r="F710" s="4">
        <v>44380</v>
      </c>
      <c r="G710" s="2" t="s">
        <v>10</v>
      </c>
      <c r="L710">
        <v>688</v>
      </c>
      <c r="M710" t="str">
        <v>FORMACION</v>
      </c>
      <c r="N710" t="str">
        <v>CLIENTE-0008</v>
      </c>
      <c r="O710" t="str">
        <v>ALICANTE</v>
      </c>
      <c r="P710">
        <v>5000</v>
      </c>
      <c r="Q710">
        <v>44312</v>
      </c>
      <c r="R710" t="str">
        <v>SI</v>
      </c>
    </row>
    <row r="711" spans="1:18" x14ac:dyDescent="0.25">
      <c r="A711" s="2">
        <v>710</v>
      </c>
      <c r="B711" t="s">
        <v>14</v>
      </c>
      <c r="C711" t="s">
        <v>24</v>
      </c>
      <c r="D711" t="s">
        <v>9</v>
      </c>
      <c r="E711" s="3">
        <v>120</v>
      </c>
      <c r="F711" s="4">
        <v>44555</v>
      </c>
      <c r="G711" s="2" t="s">
        <v>10</v>
      </c>
      <c r="L711">
        <v>722</v>
      </c>
      <c r="M711" t="str">
        <v>FORMACION</v>
      </c>
      <c r="N711" t="str">
        <v>CLIENTE-0010</v>
      </c>
      <c r="O711" t="str">
        <v>MADRID</v>
      </c>
      <c r="P711">
        <v>5000</v>
      </c>
      <c r="Q711">
        <v>43578</v>
      </c>
      <c r="R711" t="str">
        <v>SI</v>
      </c>
    </row>
    <row r="712" spans="1:18" x14ac:dyDescent="0.25">
      <c r="A712" s="2">
        <v>711</v>
      </c>
      <c r="B712" t="s">
        <v>20</v>
      </c>
      <c r="C712" t="s">
        <v>25</v>
      </c>
      <c r="D712" t="s">
        <v>9</v>
      </c>
      <c r="E712" s="3">
        <v>150</v>
      </c>
      <c r="F712" s="4">
        <v>43945</v>
      </c>
      <c r="G712" s="2" t="s">
        <v>10</v>
      </c>
      <c r="L712">
        <v>753</v>
      </c>
      <c r="M712" t="str">
        <v>DESARROLLO</v>
      </c>
      <c r="N712" t="str">
        <v>CLIENTE-0010</v>
      </c>
      <c r="O712" t="str">
        <v>MADRID</v>
      </c>
      <c r="P712">
        <v>5000</v>
      </c>
      <c r="Q712">
        <v>43611</v>
      </c>
      <c r="R712" t="str">
        <v>SI</v>
      </c>
    </row>
    <row r="713" spans="1:18" x14ac:dyDescent="0.25">
      <c r="A713" s="2">
        <v>712</v>
      </c>
      <c r="B713" t="s">
        <v>7</v>
      </c>
      <c r="C713" t="s">
        <v>24</v>
      </c>
      <c r="D713" t="s">
        <v>9</v>
      </c>
      <c r="E713" s="3">
        <v>1200</v>
      </c>
      <c r="F713" s="4">
        <v>43516</v>
      </c>
      <c r="G713" s="2" t="s">
        <v>10</v>
      </c>
      <c r="L713">
        <v>12</v>
      </c>
      <c r="M713" t="str">
        <v>CONSULTORIA</v>
      </c>
      <c r="N713" t="str">
        <v>CLIENTE-0009</v>
      </c>
      <c r="O713" t="str">
        <v>ALICANTE</v>
      </c>
      <c r="P713">
        <v>6500</v>
      </c>
      <c r="Q713">
        <v>43539</v>
      </c>
      <c r="R713" t="str">
        <v>SI</v>
      </c>
    </row>
    <row r="714" spans="1:18" x14ac:dyDescent="0.25">
      <c r="A714" s="2">
        <v>713</v>
      </c>
      <c r="B714" t="s">
        <v>11</v>
      </c>
      <c r="C714" t="s">
        <v>25</v>
      </c>
      <c r="D714" t="s">
        <v>9</v>
      </c>
      <c r="E714" s="3">
        <v>800</v>
      </c>
      <c r="F714" s="4">
        <v>44400</v>
      </c>
      <c r="G714" s="2" t="s">
        <v>26</v>
      </c>
      <c r="L714">
        <v>35</v>
      </c>
      <c r="M714" t="str">
        <v>CONSULTORIA</v>
      </c>
      <c r="N714" t="str">
        <v>CLIENTE-0010</v>
      </c>
      <c r="O714" t="str">
        <v>MADRID</v>
      </c>
      <c r="P714">
        <v>6500</v>
      </c>
      <c r="Q714">
        <v>43765</v>
      </c>
      <c r="R714" t="str">
        <v>SI</v>
      </c>
    </row>
    <row r="715" spans="1:18" x14ac:dyDescent="0.25">
      <c r="A715" s="2">
        <v>714</v>
      </c>
      <c r="B715" t="s">
        <v>14</v>
      </c>
      <c r="C715" t="s">
        <v>27</v>
      </c>
      <c r="D715" t="s">
        <v>22</v>
      </c>
      <c r="E715" s="3">
        <v>750</v>
      </c>
      <c r="F715" s="4">
        <v>44500</v>
      </c>
      <c r="G715" s="2" t="s">
        <v>26</v>
      </c>
      <c r="L715">
        <v>69</v>
      </c>
      <c r="M715" t="str">
        <v>CONSULTORIA</v>
      </c>
      <c r="N715" t="str">
        <v>CLIENTE-0009</v>
      </c>
      <c r="O715" t="str">
        <v>ALICANTE</v>
      </c>
      <c r="P715">
        <v>6500</v>
      </c>
      <c r="Q715">
        <v>43587</v>
      </c>
      <c r="R715" t="str">
        <v>SI</v>
      </c>
    </row>
    <row r="716" spans="1:18" x14ac:dyDescent="0.25">
      <c r="A716" s="2">
        <v>715</v>
      </c>
      <c r="B716" t="s">
        <v>16</v>
      </c>
      <c r="C716" t="s">
        <v>19</v>
      </c>
      <c r="D716" t="s">
        <v>9</v>
      </c>
      <c r="E716" s="3">
        <v>4500</v>
      </c>
      <c r="F716" s="4">
        <v>44003</v>
      </c>
      <c r="G716" s="2" t="s">
        <v>26</v>
      </c>
      <c r="L716">
        <v>81</v>
      </c>
      <c r="M716" t="str">
        <v>CONSULTORIA</v>
      </c>
      <c r="N716" t="str">
        <v>CLIENTE-0001</v>
      </c>
      <c r="O716" t="str">
        <v>MADRID</v>
      </c>
      <c r="P716">
        <v>6500</v>
      </c>
      <c r="Q716">
        <v>44485</v>
      </c>
      <c r="R716" t="str">
        <v>SI</v>
      </c>
    </row>
    <row r="717" spans="1:18" x14ac:dyDescent="0.25">
      <c r="A717" s="2">
        <v>716</v>
      </c>
      <c r="B717" t="s">
        <v>18</v>
      </c>
      <c r="C717" t="s">
        <v>8</v>
      </c>
      <c r="D717" t="s">
        <v>9</v>
      </c>
      <c r="E717" s="3">
        <v>500</v>
      </c>
      <c r="F717" s="4">
        <v>43901</v>
      </c>
      <c r="G717" s="2" t="s">
        <v>26</v>
      </c>
      <c r="L717">
        <v>104</v>
      </c>
      <c r="M717" t="str">
        <v>CONSULTORIA</v>
      </c>
      <c r="N717" t="str">
        <v>CLIENTE-0001</v>
      </c>
      <c r="O717" t="str">
        <v>MADRID</v>
      </c>
      <c r="P717">
        <v>6500</v>
      </c>
      <c r="Q717">
        <v>44368</v>
      </c>
      <c r="R717" t="str">
        <v>SI</v>
      </c>
    </row>
    <row r="718" spans="1:18" x14ac:dyDescent="0.25">
      <c r="A718" s="2">
        <v>717</v>
      </c>
      <c r="B718" t="s">
        <v>20</v>
      </c>
      <c r="C718" t="s">
        <v>12</v>
      </c>
      <c r="D718" t="s">
        <v>13</v>
      </c>
      <c r="E718" s="3">
        <v>750</v>
      </c>
      <c r="F718" s="4">
        <v>44169</v>
      </c>
      <c r="G718" s="2" t="s">
        <v>26</v>
      </c>
      <c r="L718">
        <v>138</v>
      </c>
      <c r="M718" t="str">
        <v>EQUIPOS</v>
      </c>
      <c r="N718" t="str">
        <v>CLIENTE-0006</v>
      </c>
      <c r="O718" t="str">
        <v>BARCELONA</v>
      </c>
      <c r="P718">
        <v>6500</v>
      </c>
      <c r="Q718">
        <v>43653</v>
      </c>
      <c r="R718" t="str">
        <v>SI</v>
      </c>
    </row>
    <row r="719" spans="1:18" x14ac:dyDescent="0.25">
      <c r="A719" s="2">
        <v>718</v>
      </c>
      <c r="B719" t="s">
        <v>7</v>
      </c>
      <c r="C719" t="s">
        <v>15</v>
      </c>
      <c r="D719" t="s">
        <v>13</v>
      </c>
      <c r="E719" s="3">
        <v>950</v>
      </c>
      <c r="F719" s="4">
        <v>44383</v>
      </c>
      <c r="G719" s="2" t="s">
        <v>26</v>
      </c>
      <c r="L719">
        <v>150</v>
      </c>
      <c r="M719" t="str">
        <v>EQUIPOS</v>
      </c>
      <c r="N719" t="str">
        <v>CLIENTE-0010</v>
      </c>
      <c r="O719" t="str">
        <v>MADRID</v>
      </c>
      <c r="P719">
        <v>6500</v>
      </c>
      <c r="Q719">
        <v>43645</v>
      </c>
      <c r="R719" t="str">
        <v>SI</v>
      </c>
    </row>
    <row r="720" spans="1:18" x14ac:dyDescent="0.25">
      <c r="A720" s="2">
        <v>719</v>
      </c>
      <c r="B720" t="s">
        <v>11</v>
      </c>
      <c r="C720" t="s">
        <v>17</v>
      </c>
      <c r="D720" t="s">
        <v>13</v>
      </c>
      <c r="E720" s="3">
        <v>680</v>
      </c>
      <c r="F720" s="4">
        <v>44479</v>
      </c>
      <c r="G720" s="2" t="s">
        <v>10</v>
      </c>
      <c r="L720">
        <v>173</v>
      </c>
      <c r="M720" t="str">
        <v>PROGRAMA</v>
      </c>
      <c r="N720" t="str">
        <v>CLIENTE-0003</v>
      </c>
      <c r="O720" t="str">
        <v>MADRID</v>
      </c>
      <c r="P720">
        <v>6500</v>
      </c>
      <c r="Q720">
        <v>44503</v>
      </c>
      <c r="R720" t="str">
        <v>SI</v>
      </c>
    </row>
    <row r="721" spans="1:18" x14ac:dyDescent="0.25">
      <c r="A721" s="2">
        <v>720</v>
      </c>
      <c r="B721" t="s">
        <v>14</v>
      </c>
      <c r="C721" t="s">
        <v>21</v>
      </c>
      <c r="D721" t="s">
        <v>22</v>
      </c>
      <c r="E721" s="3">
        <v>950</v>
      </c>
      <c r="F721" s="4">
        <v>43801</v>
      </c>
      <c r="G721" s="2" t="s">
        <v>10</v>
      </c>
      <c r="L721">
        <v>207</v>
      </c>
      <c r="M721" t="str">
        <v>CONSULTORIA</v>
      </c>
      <c r="N721" t="str">
        <v>CLIENTE-0009</v>
      </c>
      <c r="O721" t="str">
        <v>ALICANTE</v>
      </c>
      <c r="P721">
        <v>6500</v>
      </c>
      <c r="Q721">
        <v>43705</v>
      </c>
      <c r="R721" t="str">
        <v>SI</v>
      </c>
    </row>
    <row r="722" spans="1:18" x14ac:dyDescent="0.25">
      <c r="A722" s="2">
        <v>721</v>
      </c>
      <c r="B722" t="s">
        <v>16</v>
      </c>
      <c r="C722" t="s">
        <v>23</v>
      </c>
      <c r="D722" t="s">
        <v>22</v>
      </c>
      <c r="E722" s="3">
        <v>1500</v>
      </c>
      <c r="F722" s="4">
        <v>43511</v>
      </c>
      <c r="G722" s="2" t="s">
        <v>10</v>
      </c>
      <c r="L722">
        <v>219</v>
      </c>
      <c r="M722" t="str">
        <v>PROYECTO</v>
      </c>
      <c r="N722" t="str">
        <v>CLIENTE-0009</v>
      </c>
      <c r="O722" t="str">
        <v>ALICANTE</v>
      </c>
      <c r="P722">
        <v>6500</v>
      </c>
      <c r="Q722">
        <v>44365</v>
      </c>
      <c r="R722" t="str">
        <v>SI</v>
      </c>
    </row>
    <row r="723" spans="1:18" x14ac:dyDescent="0.25">
      <c r="A723" s="2">
        <v>722</v>
      </c>
      <c r="B723" t="s">
        <v>18</v>
      </c>
      <c r="C723" t="s">
        <v>24</v>
      </c>
      <c r="D723" t="s">
        <v>9</v>
      </c>
      <c r="E723" s="3">
        <v>5000</v>
      </c>
      <c r="F723" s="4">
        <v>43578</v>
      </c>
      <c r="G723" s="2" t="s">
        <v>10</v>
      </c>
      <c r="L723">
        <v>242</v>
      </c>
      <c r="M723" t="str">
        <v>DESARROLLO</v>
      </c>
      <c r="N723" t="str">
        <v>CLIENTE-0007</v>
      </c>
      <c r="O723" t="str">
        <v>BARCELONA</v>
      </c>
      <c r="P723">
        <v>6500</v>
      </c>
      <c r="Q723">
        <v>44135</v>
      </c>
      <c r="R723" t="str">
        <v>SI</v>
      </c>
    </row>
    <row r="724" spans="1:18" x14ac:dyDescent="0.25">
      <c r="A724" s="2">
        <v>723</v>
      </c>
      <c r="B724" t="s">
        <v>20</v>
      </c>
      <c r="C724" t="s">
        <v>25</v>
      </c>
      <c r="D724" t="s">
        <v>9</v>
      </c>
      <c r="E724" s="3">
        <v>6500</v>
      </c>
      <c r="F724" s="4">
        <v>43772</v>
      </c>
      <c r="G724" s="2" t="s">
        <v>10</v>
      </c>
      <c r="L724">
        <v>276</v>
      </c>
      <c r="M724" t="str">
        <v>CONSULTORIA</v>
      </c>
      <c r="N724" t="str">
        <v>CLIENTE-0007</v>
      </c>
      <c r="O724" t="str">
        <v>BARCELONA</v>
      </c>
      <c r="P724">
        <v>6500</v>
      </c>
      <c r="Q724">
        <v>44468</v>
      </c>
      <c r="R724" t="str">
        <v>SI</v>
      </c>
    </row>
    <row r="725" spans="1:18" x14ac:dyDescent="0.25">
      <c r="A725" s="2">
        <v>724</v>
      </c>
      <c r="B725" t="s">
        <v>7</v>
      </c>
      <c r="C725" t="s">
        <v>24</v>
      </c>
      <c r="D725" t="s">
        <v>9</v>
      </c>
      <c r="E725" s="3">
        <v>1200</v>
      </c>
      <c r="F725" s="4">
        <v>43512</v>
      </c>
      <c r="G725" s="2" t="s">
        <v>10</v>
      </c>
      <c r="L725">
        <v>285</v>
      </c>
      <c r="M725" t="str">
        <v>FORMACION</v>
      </c>
      <c r="N725" t="str">
        <v>CLIENTE-0008</v>
      </c>
      <c r="O725" t="str">
        <v>ALICANTE</v>
      </c>
      <c r="P725">
        <v>6500</v>
      </c>
      <c r="Q725">
        <v>44235</v>
      </c>
      <c r="R725" t="str">
        <v>SI</v>
      </c>
    </row>
    <row r="726" spans="1:18" x14ac:dyDescent="0.25">
      <c r="A726" s="2">
        <v>725</v>
      </c>
      <c r="B726" t="s">
        <v>11</v>
      </c>
      <c r="C726" t="s">
        <v>25</v>
      </c>
      <c r="D726" t="s">
        <v>9</v>
      </c>
      <c r="E726" s="3">
        <v>800</v>
      </c>
      <c r="F726" s="4">
        <v>43618</v>
      </c>
      <c r="G726" s="2" t="s">
        <v>10</v>
      </c>
      <c r="L726">
        <v>319</v>
      </c>
      <c r="M726" t="str">
        <v>PROYECTO</v>
      </c>
      <c r="N726" t="str">
        <v>CLIENTE-0010</v>
      </c>
      <c r="O726" t="str">
        <v>MADRID</v>
      </c>
      <c r="P726">
        <v>6500</v>
      </c>
      <c r="Q726">
        <v>43727</v>
      </c>
      <c r="R726" t="str">
        <v>NO</v>
      </c>
    </row>
    <row r="727" spans="1:18" x14ac:dyDescent="0.25">
      <c r="A727" s="2">
        <v>726</v>
      </c>
      <c r="B727" t="s">
        <v>14</v>
      </c>
      <c r="C727" t="s">
        <v>27</v>
      </c>
      <c r="D727" t="s">
        <v>22</v>
      </c>
      <c r="E727" s="3">
        <v>750</v>
      </c>
      <c r="F727" s="4">
        <v>44520</v>
      </c>
      <c r="G727" s="2" t="s">
        <v>10</v>
      </c>
      <c r="L727">
        <v>331</v>
      </c>
      <c r="M727" t="str">
        <v>PROYECTO</v>
      </c>
      <c r="N727" t="str">
        <v>CLIENTE-0002</v>
      </c>
      <c r="O727" t="str">
        <v>ALICANTE</v>
      </c>
      <c r="P727">
        <v>6500</v>
      </c>
      <c r="Q727">
        <v>43798</v>
      </c>
      <c r="R727" t="str">
        <v>SI</v>
      </c>
    </row>
    <row r="728" spans="1:18" x14ac:dyDescent="0.25">
      <c r="A728" s="2">
        <v>727</v>
      </c>
      <c r="B728" t="s">
        <v>16</v>
      </c>
      <c r="C728" t="s">
        <v>19</v>
      </c>
      <c r="D728" t="s">
        <v>9</v>
      </c>
      <c r="E728" s="3">
        <v>4500</v>
      </c>
      <c r="F728" s="4">
        <v>44271</v>
      </c>
      <c r="G728" s="2" t="s">
        <v>10</v>
      </c>
      <c r="L728">
        <v>354</v>
      </c>
      <c r="M728" t="str">
        <v>PROGRAMA</v>
      </c>
      <c r="N728" t="str">
        <v>CLIENTE-0010</v>
      </c>
      <c r="O728" t="str">
        <v>MADRID</v>
      </c>
      <c r="P728">
        <v>6500</v>
      </c>
      <c r="Q728">
        <v>44004</v>
      </c>
      <c r="R728" t="str">
        <v>SI</v>
      </c>
    </row>
    <row r="729" spans="1:18" x14ac:dyDescent="0.25">
      <c r="A729" s="2">
        <v>728</v>
      </c>
      <c r="B729" t="s">
        <v>18</v>
      </c>
      <c r="C729" t="s">
        <v>8</v>
      </c>
      <c r="D729" t="s">
        <v>9</v>
      </c>
      <c r="E729" s="3">
        <v>500</v>
      </c>
      <c r="F729" s="4">
        <v>44243</v>
      </c>
      <c r="G729" s="2" t="s">
        <v>10</v>
      </c>
      <c r="L729">
        <v>396</v>
      </c>
      <c r="M729" t="str">
        <v>PROYECTO</v>
      </c>
      <c r="N729" t="str">
        <v>CLIENTE-0008</v>
      </c>
      <c r="O729" t="str">
        <v>ALICANTE</v>
      </c>
      <c r="P729">
        <v>6500</v>
      </c>
      <c r="Q729">
        <v>43853</v>
      </c>
      <c r="R729" t="str">
        <v>SI</v>
      </c>
    </row>
    <row r="730" spans="1:18" x14ac:dyDescent="0.25">
      <c r="A730" s="2">
        <v>729</v>
      </c>
      <c r="B730" t="s">
        <v>20</v>
      </c>
      <c r="C730" t="s">
        <v>12</v>
      </c>
      <c r="D730" t="s">
        <v>13</v>
      </c>
      <c r="E730" s="3">
        <v>750</v>
      </c>
      <c r="F730" s="4">
        <v>43473</v>
      </c>
      <c r="G730" s="2" t="s">
        <v>10</v>
      </c>
      <c r="L730">
        <v>430</v>
      </c>
      <c r="M730" t="str">
        <v>DESARROLLO</v>
      </c>
      <c r="N730" t="str">
        <v>CLIENTE-0010</v>
      </c>
      <c r="O730" t="str">
        <v>MADRID</v>
      </c>
      <c r="P730">
        <v>6500</v>
      </c>
      <c r="Q730">
        <v>44123</v>
      </c>
      <c r="R730" t="str">
        <v>SI</v>
      </c>
    </row>
    <row r="731" spans="1:18" x14ac:dyDescent="0.25">
      <c r="A731" s="2">
        <v>730</v>
      </c>
      <c r="B731" t="s">
        <v>7</v>
      </c>
      <c r="C731" t="s">
        <v>15</v>
      </c>
      <c r="D731" t="s">
        <v>13</v>
      </c>
      <c r="E731" s="3">
        <v>300</v>
      </c>
      <c r="F731" s="4">
        <v>44208</v>
      </c>
      <c r="G731" s="2" t="s">
        <v>10</v>
      </c>
      <c r="L731">
        <v>442</v>
      </c>
      <c r="M731" t="str">
        <v>PROGRAMA</v>
      </c>
      <c r="N731" t="str">
        <v>CLIENTE-0009</v>
      </c>
      <c r="O731" t="str">
        <v>ALICANTE</v>
      </c>
      <c r="P731">
        <v>6500</v>
      </c>
      <c r="Q731">
        <v>43570</v>
      </c>
      <c r="R731" t="str">
        <v>NO</v>
      </c>
    </row>
    <row r="732" spans="1:18" x14ac:dyDescent="0.25">
      <c r="A732" s="2">
        <v>731</v>
      </c>
      <c r="B732" t="s">
        <v>7</v>
      </c>
      <c r="C732" t="s">
        <v>17</v>
      </c>
      <c r="D732" t="s">
        <v>13</v>
      </c>
      <c r="E732" s="3">
        <v>350</v>
      </c>
      <c r="F732" s="4">
        <v>43501</v>
      </c>
      <c r="G732" s="2" t="s">
        <v>10</v>
      </c>
      <c r="L732">
        <v>465</v>
      </c>
      <c r="M732" t="str">
        <v>FORMACION</v>
      </c>
      <c r="N732" t="str">
        <v>CLIENTE-0010</v>
      </c>
      <c r="O732" t="str">
        <v>MADRID</v>
      </c>
      <c r="P732">
        <v>6500</v>
      </c>
      <c r="Q732">
        <v>44275</v>
      </c>
      <c r="R732" t="str">
        <v>SI</v>
      </c>
    </row>
    <row r="733" spans="1:18" x14ac:dyDescent="0.25">
      <c r="A733" s="2">
        <v>732</v>
      </c>
      <c r="B733" t="s">
        <v>11</v>
      </c>
      <c r="C733" t="s">
        <v>21</v>
      </c>
      <c r="D733" t="s">
        <v>22</v>
      </c>
      <c r="E733" s="3">
        <v>8500</v>
      </c>
      <c r="F733" s="4">
        <v>44397</v>
      </c>
      <c r="G733" s="2" t="s">
        <v>10</v>
      </c>
      <c r="L733">
        <v>499</v>
      </c>
      <c r="M733" t="str">
        <v>FORMACION</v>
      </c>
      <c r="N733" t="str">
        <v>CLIENTE-0009</v>
      </c>
      <c r="O733" t="str">
        <v>ALICANTE</v>
      </c>
      <c r="P733">
        <v>6500</v>
      </c>
      <c r="Q733">
        <v>43891</v>
      </c>
      <c r="R733" t="str">
        <v>SI</v>
      </c>
    </row>
    <row r="734" spans="1:18" x14ac:dyDescent="0.25">
      <c r="A734" s="2">
        <v>733</v>
      </c>
      <c r="B734" t="s">
        <v>14</v>
      </c>
      <c r="C734" t="s">
        <v>23</v>
      </c>
      <c r="D734" t="s">
        <v>22</v>
      </c>
      <c r="E734" s="3">
        <v>1200</v>
      </c>
      <c r="F734" s="4">
        <v>44209</v>
      </c>
      <c r="G734" s="2" t="s">
        <v>10</v>
      </c>
      <c r="L734">
        <v>511</v>
      </c>
      <c r="M734" t="str">
        <v>PROGRAMA</v>
      </c>
      <c r="N734" t="str">
        <v>CLIENTE-0001</v>
      </c>
      <c r="O734" t="str">
        <v>MADRID</v>
      </c>
      <c r="P734">
        <v>6500</v>
      </c>
      <c r="Q734">
        <v>44185</v>
      </c>
      <c r="R734" t="str">
        <v>NO</v>
      </c>
    </row>
    <row r="735" spans="1:18" x14ac:dyDescent="0.25">
      <c r="A735" s="2">
        <v>734</v>
      </c>
      <c r="B735" t="s">
        <v>16</v>
      </c>
      <c r="C735" t="s">
        <v>24</v>
      </c>
      <c r="D735" t="s">
        <v>9</v>
      </c>
      <c r="E735" s="3">
        <v>300</v>
      </c>
      <c r="F735" s="4">
        <v>43867</v>
      </c>
      <c r="G735" s="2" t="s">
        <v>10</v>
      </c>
      <c r="L735">
        <v>534</v>
      </c>
      <c r="M735" t="str">
        <v>PROYECTO</v>
      </c>
      <c r="N735" t="str">
        <v>CLIENTE-0001</v>
      </c>
      <c r="O735" t="str">
        <v>MADRID</v>
      </c>
      <c r="P735">
        <v>6500</v>
      </c>
      <c r="Q735">
        <v>43632</v>
      </c>
      <c r="R735" t="str">
        <v>NO</v>
      </c>
    </row>
    <row r="736" spans="1:18" x14ac:dyDescent="0.25">
      <c r="A736" s="2">
        <v>735</v>
      </c>
      <c r="B736" t="s">
        <v>18</v>
      </c>
      <c r="C736" t="s">
        <v>8</v>
      </c>
      <c r="D736" t="s">
        <v>9</v>
      </c>
      <c r="E736" s="3">
        <v>200</v>
      </c>
      <c r="F736" s="4">
        <v>43936</v>
      </c>
      <c r="G736" s="2" t="s">
        <v>10</v>
      </c>
      <c r="L736">
        <v>568</v>
      </c>
      <c r="M736" t="str">
        <v>PROYECTO</v>
      </c>
      <c r="N736" t="str">
        <v>CLIENTE-0005</v>
      </c>
      <c r="O736" t="str">
        <v>BARCELONA</v>
      </c>
      <c r="P736">
        <v>6500</v>
      </c>
      <c r="Q736">
        <v>44031</v>
      </c>
      <c r="R736" t="str">
        <v>SI</v>
      </c>
    </row>
    <row r="737" spans="1:18" x14ac:dyDescent="0.25">
      <c r="A737" s="2">
        <v>736</v>
      </c>
      <c r="B737" t="s">
        <v>20</v>
      </c>
      <c r="C737" t="s">
        <v>12</v>
      </c>
      <c r="D737" t="s">
        <v>13</v>
      </c>
      <c r="E737" s="3">
        <v>150</v>
      </c>
      <c r="F737" s="4">
        <v>44110</v>
      </c>
      <c r="G737" s="2" t="s">
        <v>10</v>
      </c>
      <c r="L737">
        <v>580</v>
      </c>
      <c r="M737" t="str">
        <v>DESARROLLO</v>
      </c>
      <c r="N737" t="str">
        <v>CLIENTE-0005</v>
      </c>
      <c r="O737" t="str">
        <v>BARCELONA</v>
      </c>
      <c r="P737">
        <v>6500</v>
      </c>
      <c r="Q737">
        <v>43942</v>
      </c>
      <c r="R737" t="str">
        <v>NO</v>
      </c>
    </row>
    <row r="738" spans="1:18" x14ac:dyDescent="0.25">
      <c r="A738" s="2">
        <v>737</v>
      </c>
      <c r="B738" t="s">
        <v>7</v>
      </c>
      <c r="C738" t="s">
        <v>12</v>
      </c>
      <c r="D738" t="s">
        <v>13</v>
      </c>
      <c r="E738" s="3">
        <v>120</v>
      </c>
      <c r="F738" s="4">
        <v>44306</v>
      </c>
      <c r="G738" s="2" t="s">
        <v>10</v>
      </c>
      <c r="L738">
        <v>603</v>
      </c>
      <c r="M738" t="str">
        <v>PROYECTO</v>
      </c>
      <c r="N738" t="str">
        <v>CLIENTE-0008</v>
      </c>
      <c r="O738" t="str">
        <v>ALICANTE</v>
      </c>
      <c r="P738">
        <v>6500</v>
      </c>
      <c r="Q738">
        <v>43504</v>
      </c>
      <c r="R738" t="str">
        <v>NO</v>
      </c>
    </row>
    <row r="739" spans="1:18" x14ac:dyDescent="0.25">
      <c r="A739" s="2">
        <v>738</v>
      </c>
      <c r="B739" t="s">
        <v>11</v>
      </c>
      <c r="C739" t="s">
        <v>15</v>
      </c>
      <c r="D739" t="s">
        <v>13</v>
      </c>
      <c r="E739" s="3">
        <v>300</v>
      </c>
      <c r="F739" s="4">
        <v>43472</v>
      </c>
      <c r="G739" s="2" t="s">
        <v>10</v>
      </c>
      <c r="L739">
        <v>647</v>
      </c>
      <c r="M739" t="str">
        <v>EQUIPOS</v>
      </c>
      <c r="N739" t="str">
        <v>CLIENTE-0007</v>
      </c>
      <c r="O739" t="str">
        <v>BARCELONA</v>
      </c>
      <c r="P739">
        <v>6500</v>
      </c>
      <c r="Q739">
        <v>43608</v>
      </c>
      <c r="R739" t="str">
        <v>NO</v>
      </c>
    </row>
    <row r="740" spans="1:18" x14ac:dyDescent="0.25">
      <c r="A740" s="2">
        <v>739</v>
      </c>
      <c r="B740" t="s">
        <v>14</v>
      </c>
      <c r="C740" t="s">
        <v>17</v>
      </c>
      <c r="D740" t="s">
        <v>13</v>
      </c>
      <c r="E740" s="3">
        <v>350</v>
      </c>
      <c r="F740" s="4">
        <v>43629</v>
      </c>
      <c r="G740" s="2" t="s">
        <v>10</v>
      </c>
      <c r="L740">
        <v>689</v>
      </c>
      <c r="M740" t="str">
        <v>CONSULTORIA</v>
      </c>
      <c r="N740" t="str">
        <v>CLIENTE-0009</v>
      </c>
      <c r="O740" t="str">
        <v>ALICANTE</v>
      </c>
      <c r="P740">
        <v>6500</v>
      </c>
      <c r="Q740">
        <v>43585</v>
      </c>
      <c r="R740" t="str">
        <v>SI</v>
      </c>
    </row>
    <row r="741" spans="1:18" x14ac:dyDescent="0.25">
      <c r="A741" s="2">
        <v>740</v>
      </c>
      <c r="B741" t="s">
        <v>16</v>
      </c>
      <c r="C741" t="s">
        <v>21</v>
      </c>
      <c r="D741" t="s">
        <v>22</v>
      </c>
      <c r="E741" s="3">
        <v>300</v>
      </c>
      <c r="F741" s="4">
        <v>44183</v>
      </c>
      <c r="G741" s="2" t="s">
        <v>26</v>
      </c>
      <c r="L741">
        <v>723</v>
      </c>
      <c r="M741" t="str">
        <v>CONSULTORIA</v>
      </c>
      <c r="N741" t="str">
        <v>CLIENTE-0001</v>
      </c>
      <c r="O741" t="str">
        <v>MADRID</v>
      </c>
      <c r="P741">
        <v>6500</v>
      </c>
      <c r="Q741">
        <v>43772</v>
      </c>
      <c r="R741" t="str">
        <v>SI</v>
      </c>
    </row>
    <row r="742" spans="1:18" x14ac:dyDescent="0.25">
      <c r="A742" s="2">
        <v>741</v>
      </c>
      <c r="B742" t="s">
        <v>18</v>
      </c>
      <c r="C742" t="s">
        <v>15</v>
      </c>
      <c r="D742" t="s">
        <v>13</v>
      </c>
      <c r="E742" s="3">
        <v>120</v>
      </c>
      <c r="F742" s="4">
        <v>43636</v>
      </c>
      <c r="G742" s="2" t="s">
        <v>26</v>
      </c>
      <c r="L742">
        <v>754</v>
      </c>
      <c r="M742" t="str">
        <v>PROYECTO</v>
      </c>
      <c r="N742" t="str">
        <v>CLIENTE-0001</v>
      </c>
      <c r="O742" t="str">
        <v>MADRID</v>
      </c>
      <c r="P742">
        <v>6500</v>
      </c>
      <c r="Q742">
        <v>43476</v>
      </c>
      <c r="R742" t="str">
        <v>SI</v>
      </c>
    </row>
    <row r="743" spans="1:18" x14ac:dyDescent="0.25">
      <c r="A743" s="2">
        <v>742</v>
      </c>
      <c r="B743" t="s">
        <v>20</v>
      </c>
      <c r="C743" t="s">
        <v>17</v>
      </c>
      <c r="D743" t="s">
        <v>13</v>
      </c>
      <c r="E743" s="3">
        <v>150</v>
      </c>
      <c r="F743" s="4">
        <v>44335</v>
      </c>
      <c r="G743" s="2" t="s">
        <v>26</v>
      </c>
      <c r="L743">
        <v>13</v>
      </c>
      <c r="M743" t="str">
        <v>DESARROLLO</v>
      </c>
      <c r="N743" t="str">
        <v>CLIENTE-0010</v>
      </c>
      <c r="O743" t="str">
        <v>MADRID</v>
      </c>
      <c r="P743">
        <v>8500</v>
      </c>
      <c r="Q743">
        <v>44356</v>
      </c>
      <c r="R743" t="str">
        <v>SI</v>
      </c>
    </row>
    <row r="744" spans="1:18" x14ac:dyDescent="0.25">
      <c r="A744" s="2">
        <v>743</v>
      </c>
      <c r="B744" t="s">
        <v>7</v>
      </c>
      <c r="C744" t="s">
        <v>19</v>
      </c>
      <c r="D744" t="s">
        <v>9</v>
      </c>
      <c r="E744" s="3">
        <v>1200</v>
      </c>
      <c r="F744" s="4">
        <v>43576</v>
      </c>
      <c r="G744" s="2" t="s">
        <v>26</v>
      </c>
      <c r="L744">
        <v>36</v>
      </c>
      <c r="M744" t="str">
        <v>DESARROLLO</v>
      </c>
      <c r="N744" t="str">
        <v>CLIENTE-0001</v>
      </c>
      <c r="O744" t="str">
        <v>MADRID</v>
      </c>
      <c r="P744">
        <v>8500</v>
      </c>
      <c r="Q744">
        <v>43883</v>
      </c>
      <c r="R744" t="str">
        <v>SI</v>
      </c>
    </row>
    <row r="745" spans="1:18" x14ac:dyDescent="0.25">
      <c r="A745" s="2">
        <v>744</v>
      </c>
      <c r="B745" t="s">
        <v>11</v>
      </c>
      <c r="C745" t="s">
        <v>8</v>
      </c>
      <c r="D745" t="s">
        <v>9</v>
      </c>
      <c r="E745" s="3">
        <v>800</v>
      </c>
      <c r="F745" s="4">
        <v>43725</v>
      </c>
      <c r="G745" s="2" t="s">
        <v>26</v>
      </c>
      <c r="L745">
        <v>47</v>
      </c>
      <c r="M745" t="str">
        <v>CONSULTORIA</v>
      </c>
      <c r="N745" t="str">
        <v>CLIENTE-0005</v>
      </c>
      <c r="O745" t="str">
        <v>BARCELONA</v>
      </c>
      <c r="P745">
        <v>8500</v>
      </c>
      <c r="Q745">
        <v>44259</v>
      </c>
      <c r="R745" t="str">
        <v>NO</v>
      </c>
    </row>
    <row r="746" spans="1:18" x14ac:dyDescent="0.25">
      <c r="A746" s="2">
        <v>745</v>
      </c>
      <c r="B746" t="s">
        <v>14</v>
      </c>
      <c r="C746" t="s">
        <v>12</v>
      </c>
      <c r="D746" t="s">
        <v>13</v>
      </c>
      <c r="E746" s="3">
        <v>750</v>
      </c>
      <c r="F746" s="4">
        <v>43731</v>
      </c>
      <c r="G746" s="2" t="s">
        <v>26</v>
      </c>
      <c r="L746">
        <v>82</v>
      </c>
      <c r="M746" t="str">
        <v>DESARROLLO</v>
      </c>
      <c r="N746" t="str">
        <v>CLIENTE-0002</v>
      </c>
      <c r="O746" t="str">
        <v>ALICANTE</v>
      </c>
      <c r="P746">
        <v>8500</v>
      </c>
      <c r="Q746">
        <v>43717</v>
      </c>
      <c r="R746" t="str">
        <v>SI</v>
      </c>
    </row>
    <row r="747" spans="1:18" x14ac:dyDescent="0.25">
      <c r="A747" s="2">
        <v>746</v>
      </c>
      <c r="B747" t="s">
        <v>20</v>
      </c>
      <c r="C747" t="s">
        <v>12</v>
      </c>
      <c r="D747" t="s">
        <v>13</v>
      </c>
      <c r="E747" s="3">
        <v>4500</v>
      </c>
      <c r="F747" s="4">
        <v>44038</v>
      </c>
      <c r="G747" s="2" t="s">
        <v>26</v>
      </c>
      <c r="L747">
        <v>105</v>
      </c>
      <c r="M747" t="str">
        <v>DESARROLLO</v>
      </c>
      <c r="N747" t="str">
        <v>CLIENTE-0010</v>
      </c>
      <c r="O747" t="str">
        <v>MADRID</v>
      </c>
      <c r="P747">
        <v>8500</v>
      </c>
      <c r="Q747">
        <v>44206</v>
      </c>
      <c r="R747" t="str">
        <v>SI</v>
      </c>
    </row>
    <row r="748" spans="1:18" x14ac:dyDescent="0.25">
      <c r="A748" s="2">
        <v>747</v>
      </c>
      <c r="B748" t="s">
        <v>7</v>
      </c>
      <c r="C748" t="s">
        <v>15</v>
      </c>
      <c r="D748" t="s">
        <v>13</v>
      </c>
      <c r="E748" s="3">
        <v>500</v>
      </c>
      <c r="F748" s="4">
        <v>43698</v>
      </c>
      <c r="G748" s="2" t="s">
        <v>10</v>
      </c>
      <c r="L748">
        <v>116</v>
      </c>
      <c r="M748" t="str">
        <v>EQUIPOS</v>
      </c>
      <c r="N748" t="str">
        <v>CLIENTE-0004</v>
      </c>
      <c r="O748" t="str">
        <v>MADRID</v>
      </c>
      <c r="P748">
        <v>8500</v>
      </c>
      <c r="Q748">
        <v>44242</v>
      </c>
      <c r="R748" t="str">
        <v>NO</v>
      </c>
    </row>
    <row r="749" spans="1:18" x14ac:dyDescent="0.25">
      <c r="A749" s="2">
        <v>748</v>
      </c>
      <c r="B749" t="s">
        <v>11</v>
      </c>
      <c r="C749" t="s">
        <v>17</v>
      </c>
      <c r="D749" t="s">
        <v>13</v>
      </c>
      <c r="E749" s="3">
        <v>750</v>
      </c>
      <c r="F749" s="4">
        <v>44091</v>
      </c>
      <c r="G749" s="2" t="s">
        <v>10</v>
      </c>
      <c r="L749">
        <v>151</v>
      </c>
      <c r="M749" t="str">
        <v>PROGRAMA</v>
      </c>
      <c r="N749" t="str">
        <v>CLIENTE-0001</v>
      </c>
      <c r="O749" t="str">
        <v>MADRID</v>
      </c>
      <c r="P749">
        <v>8500</v>
      </c>
      <c r="Q749">
        <v>44140</v>
      </c>
      <c r="R749" t="str">
        <v>SI</v>
      </c>
    </row>
    <row r="750" spans="1:18" x14ac:dyDescent="0.25">
      <c r="A750" s="2">
        <v>749</v>
      </c>
      <c r="B750" t="s">
        <v>14</v>
      </c>
      <c r="C750" t="s">
        <v>21</v>
      </c>
      <c r="D750" t="s">
        <v>22</v>
      </c>
      <c r="E750" s="3">
        <v>950</v>
      </c>
      <c r="F750" s="4">
        <v>44490</v>
      </c>
      <c r="G750" s="2" t="s">
        <v>10</v>
      </c>
      <c r="L750">
        <v>174</v>
      </c>
      <c r="M750" t="str">
        <v>FORMACION</v>
      </c>
      <c r="N750" t="str">
        <v>CLIENTE-0004</v>
      </c>
      <c r="O750" t="str">
        <v>MADRID</v>
      </c>
      <c r="P750">
        <v>8500</v>
      </c>
      <c r="Q750">
        <v>44462</v>
      </c>
      <c r="R750" t="str">
        <v>SI</v>
      </c>
    </row>
    <row r="751" spans="1:18" x14ac:dyDescent="0.25">
      <c r="A751" s="2">
        <v>750</v>
      </c>
      <c r="B751" t="s">
        <v>16</v>
      </c>
      <c r="C751" t="s">
        <v>23</v>
      </c>
      <c r="D751" t="s">
        <v>22</v>
      </c>
      <c r="E751" s="3">
        <v>680</v>
      </c>
      <c r="F751" s="4">
        <v>44152</v>
      </c>
      <c r="G751" s="2" t="s">
        <v>10</v>
      </c>
      <c r="L751">
        <v>185</v>
      </c>
      <c r="M751" t="str">
        <v>EQUIPOS</v>
      </c>
      <c r="N751" t="str">
        <v>CLIENTE-0007</v>
      </c>
      <c r="O751" t="str">
        <v>BARCELONA</v>
      </c>
      <c r="P751">
        <v>8500</v>
      </c>
      <c r="Q751">
        <v>43993</v>
      </c>
      <c r="R751" t="str">
        <v>NO</v>
      </c>
    </row>
    <row r="752" spans="1:18" x14ac:dyDescent="0.25">
      <c r="A752" s="2">
        <v>751</v>
      </c>
      <c r="B752" t="s">
        <v>18</v>
      </c>
      <c r="C752" t="s">
        <v>24</v>
      </c>
      <c r="D752" t="s">
        <v>9</v>
      </c>
      <c r="E752" s="3">
        <v>950</v>
      </c>
      <c r="F752" s="4">
        <v>44475</v>
      </c>
      <c r="G752" s="2" t="s">
        <v>10</v>
      </c>
      <c r="L752">
        <v>220</v>
      </c>
      <c r="M752" t="str">
        <v>EQUIPOS</v>
      </c>
      <c r="N752" t="str">
        <v>CLIENTE-0010</v>
      </c>
      <c r="O752" t="str">
        <v>MADRID</v>
      </c>
      <c r="P752">
        <v>8500</v>
      </c>
      <c r="Q752">
        <v>44494</v>
      </c>
      <c r="R752" t="str">
        <v>SI</v>
      </c>
    </row>
    <row r="753" spans="1:18" x14ac:dyDescent="0.25">
      <c r="A753" s="2">
        <v>752</v>
      </c>
      <c r="B753" t="s">
        <v>20</v>
      </c>
      <c r="C753" t="s">
        <v>25</v>
      </c>
      <c r="D753" t="s">
        <v>9</v>
      </c>
      <c r="E753" s="3">
        <v>1500</v>
      </c>
      <c r="F753" s="4">
        <v>43715</v>
      </c>
      <c r="G753" s="2" t="s">
        <v>10</v>
      </c>
      <c r="L753">
        <v>243</v>
      </c>
      <c r="M753" t="str">
        <v>PROYECTO</v>
      </c>
      <c r="N753" t="str">
        <v>CLIENTE-0008</v>
      </c>
      <c r="O753" t="str">
        <v>ALICANTE</v>
      </c>
      <c r="P753">
        <v>8500</v>
      </c>
      <c r="Q753">
        <v>44351</v>
      </c>
      <c r="R753" t="str">
        <v>SI</v>
      </c>
    </row>
    <row r="754" spans="1:18" x14ac:dyDescent="0.25">
      <c r="A754" s="2">
        <v>753</v>
      </c>
      <c r="B754" t="s">
        <v>7</v>
      </c>
      <c r="C754" t="s">
        <v>24</v>
      </c>
      <c r="D754" t="s">
        <v>9</v>
      </c>
      <c r="E754" s="3">
        <v>5000</v>
      </c>
      <c r="F754" s="4">
        <v>43611</v>
      </c>
      <c r="G754" s="2" t="s">
        <v>10</v>
      </c>
      <c r="L754">
        <v>254</v>
      </c>
      <c r="M754" t="str">
        <v>EQUIPOS</v>
      </c>
      <c r="N754" t="str">
        <v>CLIENTE-0001</v>
      </c>
      <c r="O754" t="str">
        <v>MADRID</v>
      </c>
      <c r="P754">
        <v>8500</v>
      </c>
      <c r="Q754">
        <v>43582</v>
      </c>
      <c r="R754" t="str">
        <v>NO</v>
      </c>
    </row>
    <row r="755" spans="1:18" x14ac:dyDescent="0.25">
      <c r="A755" s="2">
        <v>754</v>
      </c>
      <c r="B755" t="s">
        <v>11</v>
      </c>
      <c r="C755" t="s">
        <v>25</v>
      </c>
      <c r="D755" t="s">
        <v>9</v>
      </c>
      <c r="E755" s="3">
        <v>6500</v>
      </c>
      <c r="F755" s="4">
        <v>43476</v>
      </c>
      <c r="G755" s="2" t="s">
        <v>10</v>
      </c>
      <c r="L755">
        <v>286</v>
      </c>
      <c r="M755" t="str">
        <v>CONSULTORIA</v>
      </c>
      <c r="N755" t="str">
        <v>CLIENTE-0009</v>
      </c>
      <c r="O755" t="str">
        <v>ALICANTE</v>
      </c>
      <c r="P755">
        <v>8500</v>
      </c>
      <c r="Q755">
        <v>44177</v>
      </c>
      <c r="R755" t="str">
        <v>SI</v>
      </c>
    </row>
    <row r="756" spans="1:18" x14ac:dyDescent="0.25">
      <c r="A756" s="2">
        <v>755</v>
      </c>
      <c r="B756" t="s">
        <v>14</v>
      </c>
      <c r="C756" t="s">
        <v>27</v>
      </c>
      <c r="D756" t="s">
        <v>22</v>
      </c>
      <c r="E756" s="3">
        <v>8500</v>
      </c>
      <c r="F756" s="4">
        <v>43897</v>
      </c>
      <c r="G756" s="2" t="s">
        <v>26</v>
      </c>
      <c r="L756">
        <v>297</v>
      </c>
      <c r="M756" t="str">
        <v>PROYECTO</v>
      </c>
      <c r="N756" t="str">
        <v>CLIENTE-0008</v>
      </c>
      <c r="O756" t="str">
        <v>ALICANTE</v>
      </c>
      <c r="P756">
        <v>8500</v>
      </c>
      <c r="Q756">
        <v>43529</v>
      </c>
      <c r="R756" t="str">
        <v>SI</v>
      </c>
    </row>
    <row r="757" spans="1:18" x14ac:dyDescent="0.25">
      <c r="A757" s="2">
        <v>756</v>
      </c>
      <c r="B757" t="s">
        <v>16</v>
      </c>
      <c r="C757" t="s">
        <v>19</v>
      </c>
      <c r="D757" t="s">
        <v>9</v>
      </c>
      <c r="E757" s="3">
        <v>1200</v>
      </c>
      <c r="F757" s="4">
        <v>43501</v>
      </c>
      <c r="G757" s="2" t="s">
        <v>26</v>
      </c>
      <c r="L757">
        <v>332</v>
      </c>
      <c r="M757" t="str">
        <v>EQUIPOS</v>
      </c>
      <c r="N757" t="str">
        <v>CLIENTE-0003</v>
      </c>
      <c r="O757" t="str">
        <v>MADRID</v>
      </c>
      <c r="P757">
        <v>8500</v>
      </c>
      <c r="Q757">
        <v>43779</v>
      </c>
      <c r="R757" t="str">
        <v>SI</v>
      </c>
    </row>
    <row r="758" spans="1:18" x14ac:dyDescent="0.25">
      <c r="A758" s="2">
        <v>757</v>
      </c>
      <c r="B758" t="s">
        <v>11</v>
      </c>
      <c r="C758" t="s">
        <v>8</v>
      </c>
      <c r="D758" t="s">
        <v>9</v>
      </c>
      <c r="E758" s="3">
        <v>300</v>
      </c>
      <c r="F758" s="4">
        <v>44248</v>
      </c>
      <c r="G758" s="2" t="s">
        <v>26</v>
      </c>
      <c r="L758">
        <v>355</v>
      </c>
      <c r="M758" t="str">
        <v>FORMACION</v>
      </c>
      <c r="N758" t="str">
        <v>CLIENTE-0001</v>
      </c>
      <c r="O758" t="str">
        <v>MADRID</v>
      </c>
      <c r="P758">
        <v>8500</v>
      </c>
      <c r="Q758">
        <v>43666</v>
      </c>
      <c r="R758" t="str">
        <v>SI</v>
      </c>
    </row>
    <row r="759" spans="1:18" x14ac:dyDescent="0.25">
      <c r="A759" s="2">
        <v>758</v>
      </c>
      <c r="B759" t="s">
        <v>14</v>
      </c>
      <c r="C759" t="s">
        <v>12</v>
      </c>
      <c r="D759" t="s">
        <v>13</v>
      </c>
      <c r="E759" s="3">
        <v>200</v>
      </c>
      <c r="F759" s="4">
        <v>43869</v>
      </c>
      <c r="G759" s="2" t="s">
        <v>26</v>
      </c>
      <c r="L759">
        <v>366</v>
      </c>
      <c r="M759" t="str">
        <v>CONSULTORIA</v>
      </c>
      <c r="N759" t="str">
        <v>CLIENTE-0005</v>
      </c>
      <c r="O759" t="str">
        <v>BARCELONA</v>
      </c>
      <c r="P759">
        <v>8500</v>
      </c>
      <c r="Q759">
        <v>44331</v>
      </c>
      <c r="R759" t="str">
        <v>SI</v>
      </c>
    </row>
    <row r="760" spans="1:18" x14ac:dyDescent="0.25">
      <c r="A760" s="2">
        <v>759</v>
      </c>
      <c r="B760" t="s">
        <v>16</v>
      </c>
      <c r="C760" t="s">
        <v>15</v>
      </c>
      <c r="D760" t="s">
        <v>13</v>
      </c>
      <c r="E760" s="3">
        <v>150</v>
      </c>
      <c r="F760" s="4">
        <v>43517</v>
      </c>
      <c r="G760" s="2" t="s">
        <v>10</v>
      </c>
      <c r="L760">
        <v>374</v>
      </c>
      <c r="M760" t="str">
        <v>PROYECTO</v>
      </c>
      <c r="N760" t="str">
        <v>CLIENTE-0010</v>
      </c>
      <c r="O760" t="str">
        <v>MADRID</v>
      </c>
      <c r="P760">
        <v>8500</v>
      </c>
      <c r="Q760">
        <v>43519</v>
      </c>
      <c r="R760" t="str">
        <v>SI</v>
      </c>
    </row>
    <row r="761" spans="1:18" x14ac:dyDescent="0.25">
      <c r="A761" s="2">
        <v>760</v>
      </c>
      <c r="B761" t="s">
        <v>18</v>
      </c>
      <c r="C761" t="s">
        <v>17</v>
      </c>
      <c r="D761" t="s">
        <v>13</v>
      </c>
      <c r="E761" s="3">
        <v>120</v>
      </c>
      <c r="F761" s="4">
        <v>44450</v>
      </c>
      <c r="G761" s="2" t="s">
        <v>10</v>
      </c>
      <c r="L761">
        <v>397</v>
      </c>
      <c r="M761" t="str">
        <v>EQUIPOS</v>
      </c>
      <c r="N761" t="str">
        <v>CLIENTE-0009</v>
      </c>
      <c r="O761" t="str">
        <v>ALICANTE</v>
      </c>
      <c r="P761">
        <v>8500</v>
      </c>
      <c r="Q761">
        <v>43648</v>
      </c>
      <c r="R761" t="str">
        <v>SI</v>
      </c>
    </row>
    <row r="762" spans="1:18" x14ac:dyDescent="0.25">
      <c r="A762" s="2">
        <v>761</v>
      </c>
      <c r="B762" t="s">
        <v>20</v>
      </c>
      <c r="C762" t="s">
        <v>21</v>
      </c>
      <c r="D762" t="s">
        <v>22</v>
      </c>
      <c r="E762" s="3">
        <v>300</v>
      </c>
      <c r="F762" s="4">
        <v>43755</v>
      </c>
      <c r="G762" s="2" t="s">
        <v>10</v>
      </c>
      <c r="L762">
        <v>408</v>
      </c>
      <c r="M762" t="str">
        <v>PROYECTO</v>
      </c>
      <c r="N762" t="str">
        <v>CLIENTE-0008</v>
      </c>
      <c r="O762" t="str">
        <v>ALICANTE</v>
      </c>
      <c r="P762">
        <v>8500</v>
      </c>
      <c r="Q762">
        <v>43514</v>
      </c>
      <c r="R762" t="str">
        <v>SI</v>
      </c>
    </row>
    <row r="763" spans="1:18" x14ac:dyDescent="0.25">
      <c r="A763" s="2">
        <v>762</v>
      </c>
      <c r="B763" t="s">
        <v>7</v>
      </c>
      <c r="C763" t="s">
        <v>23</v>
      </c>
      <c r="D763" t="s">
        <v>22</v>
      </c>
      <c r="E763" s="3">
        <v>350</v>
      </c>
      <c r="F763" s="4">
        <v>43794</v>
      </c>
      <c r="G763" s="2" t="s">
        <v>10</v>
      </c>
      <c r="L763">
        <v>443</v>
      </c>
      <c r="M763" t="str">
        <v>FORMACION</v>
      </c>
      <c r="N763" t="str">
        <v>CLIENTE-0010</v>
      </c>
      <c r="O763" t="str">
        <v>MADRID</v>
      </c>
      <c r="P763">
        <v>8500</v>
      </c>
      <c r="Q763">
        <v>44278</v>
      </c>
      <c r="R763" t="str">
        <v>NO</v>
      </c>
    </row>
    <row r="764" spans="1:18" x14ac:dyDescent="0.25">
      <c r="A764" s="2">
        <v>763</v>
      </c>
      <c r="B764" t="s">
        <v>11</v>
      </c>
      <c r="C764" t="s">
        <v>24</v>
      </c>
      <c r="D764" t="s">
        <v>9</v>
      </c>
      <c r="E764" s="3">
        <v>300</v>
      </c>
      <c r="F764" s="4">
        <v>43499</v>
      </c>
      <c r="G764" s="2" t="s">
        <v>10</v>
      </c>
      <c r="L764">
        <v>466</v>
      </c>
      <c r="M764" t="str">
        <v>CONSULTORIA</v>
      </c>
      <c r="N764" t="str">
        <v>CLIENTE-0001</v>
      </c>
      <c r="O764" t="str">
        <v>MADRID</v>
      </c>
      <c r="P764">
        <v>8500</v>
      </c>
      <c r="Q764">
        <v>43898</v>
      </c>
      <c r="R764" t="str">
        <v>SI</v>
      </c>
    </row>
    <row r="765" spans="1:18" x14ac:dyDescent="0.25">
      <c r="A765" s="2">
        <v>764</v>
      </c>
      <c r="B765" t="s">
        <v>14</v>
      </c>
      <c r="C765" t="s">
        <v>8</v>
      </c>
      <c r="D765" t="s">
        <v>9</v>
      </c>
      <c r="E765" s="3">
        <v>120</v>
      </c>
      <c r="F765" s="4">
        <v>43854</v>
      </c>
      <c r="G765" s="2" t="s">
        <v>10</v>
      </c>
      <c r="L765">
        <v>477</v>
      </c>
      <c r="M765" t="str">
        <v>FORMACION</v>
      </c>
      <c r="N765" t="str">
        <v>CLIENTE-0005</v>
      </c>
      <c r="O765" t="str">
        <v>BARCELONA</v>
      </c>
      <c r="P765">
        <v>8500</v>
      </c>
      <c r="Q765">
        <v>43641</v>
      </c>
      <c r="R765" t="str">
        <v>SI</v>
      </c>
    </row>
    <row r="766" spans="1:18" x14ac:dyDescent="0.25">
      <c r="A766" s="2">
        <v>765</v>
      </c>
      <c r="B766" t="s">
        <v>20</v>
      </c>
      <c r="C766" t="s">
        <v>12</v>
      </c>
      <c r="D766" t="s">
        <v>13</v>
      </c>
      <c r="E766" s="3">
        <v>150</v>
      </c>
      <c r="F766" s="4">
        <v>44328</v>
      </c>
      <c r="G766" s="2" t="s">
        <v>10</v>
      </c>
      <c r="L766">
        <v>512</v>
      </c>
      <c r="M766" t="str">
        <v>FORMACION</v>
      </c>
      <c r="N766" t="str">
        <v>CLIENTE-0002</v>
      </c>
      <c r="O766" t="str">
        <v>ALICANTE</v>
      </c>
      <c r="P766">
        <v>8500</v>
      </c>
      <c r="Q766">
        <v>44265</v>
      </c>
      <c r="R766" t="str">
        <v>SI</v>
      </c>
    </row>
    <row r="767" spans="1:18" x14ac:dyDescent="0.25">
      <c r="A767" s="2">
        <v>766</v>
      </c>
      <c r="B767" t="s">
        <v>7</v>
      </c>
      <c r="C767" t="s">
        <v>12</v>
      </c>
      <c r="D767" t="s">
        <v>13</v>
      </c>
      <c r="E767" s="3">
        <v>8500</v>
      </c>
      <c r="F767" s="4">
        <v>44555</v>
      </c>
      <c r="G767" s="2" t="s">
        <v>10</v>
      </c>
      <c r="L767">
        <v>535</v>
      </c>
      <c r="M767" t="str">
        <v>EQUIPOS</v>
      </c>
      <c r="N767" t="str">
        <v>CLIENTE-0010</v>
      </c>
      <c r="O767" t="str">
        <v>MADRID</v>
      </c>
      <c r="P767">
        <v>8500</v>
      </c>
      <c r="Q767">
        <v>43722</v>
      </c>
      <c r="R767" t="str">
        <v>NO</v>
      </c>
    </row>
    <row r="768" spans="1:18" x14ac:dyDescent="0.25">
      <c r="A768" s="2">
        <v>767</v>
      </c>
      <c r="B768" t="s">
        <v>11</v>
      </c>
      <c r="C768" t="s">
        <v>15</v>
      </c>
      <c r="D768" t="s">
        <v>13</v>
      </c>
      <c r="E768" s="3">
        <v>1200</v>
      </c>
      <c r="F768" s="4">
        <v>43963</v>
      </c>
      <c r="G768" s="2" t="s">
        <v>10</v>
      </c>
      <c r="L768">
        <v>546</v>
      </c>
      <c r="M768" t="str">
        <v>PROYECTO</v>
      </c>
      <c r="N768" t="str">
        <v>CLIENTE-0004</v>
      </c>
      <c r="O768" t="str">
        <v>MADRID</v>
      </c>
      <c r="P768">
        <v>8500</v>
      </c>
      <c r="Q768">
        <v>44182</v>
      </c>
      <c r="R768" t="str">
        <v>SI</v>
      </c>
    </row>
    <row r="769" spans="1:18" x14ac:dyDescent="0.25">
      <c r="A769" s="2">
        <v>768</v>
      </c>
      <c r="B769" t="s">
        <v>14</v>
      </c>
      <c r="C769" t="s">
        <v>17</v>
      </c>
      <c r="D769" t="s">
        <v>13</v>
      </c>
      <c r="E769" s="3">
        <v>300</v>
      </c>
      <c r="F769" s="4">
        <v>44272</v>
      </c>
      <c r="G769" s="2" t="s">
        <v>10</v>
      </c>
      <c r="L769">
        <v>581</v>
      </c>
      <c r="M769" t="str">
        <v>PROYECTO</v>
      </c>
      <c r="N769" t="str">
        <v>CLIENTE-0006</v>
      </c>
      <c r="O769" t="str">
        <v>BARCELONA</v>
      </c>
      <c r="P769">
        <v>8500</v>
      </c>
      <c r="Q769">
        <v>44043</v>
      </c>
      <c r="R769" t="str">
        <v>SI</v>
      </c>
    </row>
    <row r="770" spans="1:18" x14ac:dyDescent="0.25">
      <c r="A770" s="2">
        <v>769</v>
      </c>
      <c r="B770" t="s">
        <v>16</v>
      </c>
      <c r="C770" t="s">
        <v>21</v>
      </c>
      <c r="D770" t="s">
        <v>22</v>
      </c>
      <c r="E770" s="3">
        <v>200</v>
      </c>
      <c r="F770" s="4">
        <v>44342</v>
      </c>
      <c r="G770" s="2" t="s">
        <v>10</v>
      </c>
      <c r="L770">
        <v>604</v>
      </c>
      <c r="M770" t="str">
        <v>EQUIPOS</v>
      </c>
      <c r="N770" t="str">
        <v>CLIENTE-0009</v>
      </c>
      <c r="O770" t="str">
        <v>ALICANTE</v>
      </c>
      <c r="P770">
        <v>8500</v>
      </c>
      <c r="Q770">
        <v>44206</v>
      </c>
      <c r="R770" t="str">
        <v>NO</v>
      </c>
    </row>
    <row r="771" spans="1:18" x14ac:dyDescent="0.25">
      <c r="A771" s="2">
        <v>770</v>
      </c>
      <c r="B771" t="s">
        <v>18</v>
      </c>
      <c r="C771" t="s">
        <v>23</v>
      </c>
      <c r="D771" t="s">
        <v>22</v>
      </c>
      <c r="E771" s="3">
        <v>150</v>
      </c>
      <c r="F771" s="4">
        <v>43665</v>
      </c>
      <c r="G771" s="2" t="s">
        <v>10</v>
      </c>
      <c r="L771">
        <v>615</v>
      </c>
      <c r="M771" t="str">
        <v>DESARROLLO</v>
      </c>
      <c r="N771" t="str">
        <v>CLIENTE-0007</v>
      </c>
      <c r="O771" t="str">
        <v>BARCELONA</v>
      </c>
      <c r="P771">
        <v>8500</v>
      </c>
      <c r="Q771">
        <v>44036</v>
      </c>
      <c r="R771" t="str">
        <v>SI</v>
      </c>
    </row>
    <row r="772" spans="1:18" x14ac:dyDescent="0.25">
      <c r="A772" s="2">
        <v>771</v>
      </c>
      <c r="B772" t="s">
        <v>20</v>
      </c>
      <c r="C772" t="s">
        <v>24</v>
      </c>
      <c r="D772" t="s">
        <v>9</v>
      </c>
      <c r="E772" s="3">
        <v>120</v>
      </c>
      <c r="F772" s="4">
        <v>43583</v>
      </c>
      <c r="G772" s="2" t="s">
        <v>26</v>
      </c>
      <c r="L772">
        <v>648</v>
      </c>
      <c r="M772" t="str">
        <v>CONSULTORIA</v>
      </c>
      <c r="N772" t="str">
        <v>CLIENTE-0008</v>
      </c>
      <c r="O772" t="str">
        <v>ALICANTE</v>
      </c>
      <c r="P772">
        <v>8500</v>
      </c>
      <c r="Q772">
        <v>44172</v>
      </c>
      <c r="R772" t="str">
        <v>NO</v>
      </c>
    </row>
    <row r="773" spans="1:18" x14ac:dyDescent="0.25">
      <c r="A773" s="2">
        <v>772</v>
      </c>
      <c r="B773" t="s">
        <v>7</v>
      </c>
      <c r="C773" t="s">
        <v>25</v>
      </c>
      <c r="D773" t="s">
        <v>9</v>
      </c>
      <c r="E773" s="3">
        <v>300</v>
      </c>
      <c r="F773" s="4">
        <v>44365</v>
      </c>
      <c r="G773" s="2" t="s">
        <v>26</v>
      </c>
      <c r="L773">
        <v>659</v>
      </c>
      <c r="M773" t="str">
        <v>FORMACION</v>
      </c>
      <c r="N773" t="str">
        <v>CLIENTE-0005</v>
      </c>
      <c r="O773" t="str">
        <v>BARCELONA</v>
      </c>
      <c r="P773">
        <v>8500</v>
      </c>
      <c r="Q773">
        <v>43723</v>
      </c>
      <c r="R773" t="str">
        <v>SI</v>
      </c>
    </row>
    <row r="774" spans="1:18" x14ac:dyDescent="0.25">
      <c r="A774" s="2">
        <v>773</v>
      </c>
      <c r="B774" t="s">
        <v>11</v>
      </c>
      <c r="C774" t="s">
        <v>24</v>
      </c>
      <c r="D774" t="s">
        <v>9</v>
      </c>
      <c r="E774" s="3">
        <v>350</v>
      </c>
      <c r="F774" s="4">
        <v>43743</v>
      </c>
      <c r="G774" s="2" t="s">
        <v>26</v>
      </c>
      <c r="L774">
        <v>667</v>
      </c>
      <c r="M774" t="str">
        <v>DESARROLLO</v>
      </c>
      <c r="N774" t="str">
        <v>CLIENTE-0010</v>
      </c>
      <c r="O774" t="str">
        <v>MADRID</v>
      </c>
      <c r="P774">
        <v>8500</v>
      </c>
      <c r="Q774">
        <v>44112</v>
      </c>
      <c r="R774" t="str">
        <v>SI</v>
      </c>
    </row>
    <row r="775" spans="1:18" x14ac:dyDescent="0.25">
      <c r="A775" s="2">
        <v>774</v>
      </c>
      <c r="B775" t="s">
        <v>14</v>
      </c>
      <c r="C775" t="s">
        <v>25</v>
      </c>
      <c r="D775" t="s">
        <v>9</v>
      </c>
      <c r="E775" s="3">
        <v>300</v>
      </c>
      <c r="F775" s="4">
        <v>43487</v>
      </c>
      <c r="G775" s="2" t="s">
        <v>26</v>
      </c>
      <c r="L775">
        <v>690</v>
      </c>
      <c r="M775" t="str">
        <v>DESARROLLO</v>
      </c>
      <c r="N775" t="str">
        <v>CLIENTE-0010</v>
      </c>
      <c r="O775" t="str">
        <v>MADRID</v>
      </c>
      <c r="P775">
        <v>8500</v>
      </c>
      <c r="Q775">
        <v>43910</v>
      </c>
      <c r="R775" t="str">
        <v>SI</v>
      </c>
    </row>
    <row r="776" spans="1:18" x14ac:dyDescent="0.25">
      <c r="A776" s="2">
        <v>775</v>
      </c>
      <c r="B776" t="s">
        <v>16</v>
      </c>
      <c r="C776" t="s">
        <v>27</v>
      </c>
      <c r="D776" t="s">
        <v>22</v>
      </c>
      <c r="E776" s="3">
        <v>120</v>
      </c>
      <c r="F776" s="4">
        <v>44320</v>
      </c>
      <c r="G776" s="2" t="s">
        <v>26</v>
      </c>
      <c r="L776">
        <v>701</v>
      </c>
      <c r="M776" t="str">
        <v>CONSULTORIA</v>
      </c>
      <c r="N776" t="str">
        <v>CLIENTE-0009</v>
      </c>
      <c r="O776" t="str">
        <v>ALICANTE</v>
      </c>
      <c r="P776">
        <v>8500</v>
      </c>
      <c r="Q776">
        <v>44329</v>
      </c>
      <c r="R776" t="str">
        <v>NO</v>
      </c>
    </row>
    <row r="777" spans="1:18" x14ac:dyDescent="0.25">
      <c r="A777" s="2">
        <v>776</v>
      </c>
      <c r="B777" t="s">
        <v>18</v>
      </c>
      <c r="C777" t="s">
        <v>19</v>
      </c>
      <c r="D777" t="s">
        <v>9</v>
      </c>
      <c r="E777" s="3">
        <v>150</v>
      </c>
      <c r="F777" s="4">
        <v>43920</v>
      </c>
      <c r="G777" s="2" t="s">
        <v>26</v>
      </c>
      <c r="L777">
        <v>732</v>
      </c>
      <c r="M777" t="str">
        <v>PROYECTO</v>
      </c>
      <c r="N777" t="str">
        <v>CLIENTE-0008</v>
      </c>
      <c r="O777" t="str">
        <v>ALICANTE</v>
      </c>
      <c r="P777">
        <v>8500</v>
      </c>
      <c r="Q777">
        <v>44397</v>
      </c>
      <c r="R777" t="str">
        <v>SI</v>
      </c>
    </row>
    <row r="778" spans="1:18" x14ac:dyDescent="0.25">
      <c r="A778" s="2">
        <v>777</v>
      </c>
      <c r="B778" t="s">
        <v>20</v>
      </c>
      <c r="C778" t="s">
        <v>8</v>
      </c>
      <c r="D778" t="s">
        <v>9</v>
      </c>
      <c r="E778" s="3">
        <v>1200</v>
      </c>
      <c r="F778" s="4">
        <v>43529</v>
      </c>
      <c r="G778" s="2" t="s">
        <v>26</v>
      </c>
      <c r="L778">
        <v>755</v>
      </c>
      <c r="M778" t="str">
        <v>EQUIPOS</v>
      </c>
      <c r="N778" t="str">
        <v>CLIENTE-0002</v>
      </c>
      <c r="O778" t="str">
        <v>ALICANTE</v>
      </c>
      <c r="P778">
        <v>8500</v>
      </c>
      <c r="Q778">
        <v>43897</v>
      </c>
      <c r="R778" t="str">
        <v>NO</v>
      </c>
    </row>
    <row r="779" spans="1:18" x14ac:dyDescent="0.25">
      <c r="A779" s="2">
        <v>778</v>
      </c>
      <c r="B779" t="s">
        <v>7</v>
      </c>
      <c r="C779" t="s">
        <v>12</v>
      </c>
      <c r="D779" t="s">
        <v>13</v>
      </c>
      <c r="E779" s="3">
        <v>800</v>
      </c>
      <c r="F779" s="4">
        <v>44266</v>
      </c>
      <c r="G779" s="2" t="s">
        <v>10</v>
      </c>
      <c r="L779">
        <v>766</v>
      </c>
      <c r="M779" t="str">
        <v>DESARROLLO</v>
      </c>
      <c r="N779" t="str">
        <v>CLIENTE-0005</v>
      </c>
      <c r="O779" t="str">
        <v>BARCELONA</v>
      </c>
      <c r="P779">
        <v>8500</v>
      </c>
      <c r="Q779">
        <v>44555</v>
      </c>
      <c r="R779" t="str">
        <v>SI</v>
      </c>
    </row>
  </sheetData>
  <pageMargins left="0.75" right="0.75" top="1" bottom="1" header="0" footer="0"/>
  <pageSetup paperSize="9" orientation="portrait" verticalDpi="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Eduardo Cóndor</cp:lastModifiedBy>
  <dcterms:created xsi:type="dcterms:W3CDTF">2025-03-16T16:12:42Z</dcterms:created>
  <dcterms:modified xsi:type="dcterms:W3CDTF">2025-03-16T16:51:57Z</dcterms:modified>
</cp:coreProperties>
</file>