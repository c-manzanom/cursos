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093FB1C9-D6C4-49FE-8372-E3A7F99344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EADO" sheetId="2" r:id="rId1"/>
  </sheets>
  <definedNames>
    <definedName name="_xlnm._FilterDatabase" localSheetId="0" hidden="1">EMPLEADO!$A$1:$K$115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2" i="2"/>
</calcChain>
</file>

<file path=xl/sharedStrings.xml><?xml version="1.0" encoding="utf-8"?>
<sst xmlns="http://schemas.openxmlformats.org/spreadsheetml/2006/main" count="699" uniqueCount="545">
  <si>
    <t>COD EMPLEADO</t>
  </si>
  <si>
    <t>NOMBRE</t>
  </si>
  <si>
    <t>APELLIDO1</t>
  </si>
  <si>
    <t>APELLIDO 2</t>
  </si>
  <si>
    <t>NUM CUENTA</t>
  </si>
  <si>
    <t>IZQUIERDA</t>
  </si>
  <si>
    <t>DERECHA</t>
  </si>
  <si>
    <t>EXTRAE</t>
  </si>
  <si>
    <t>SEG SOC</t>
  </si>
  <si>
    <t>NIF</t>
  </si>
  <si>
    <t>estefania</t>
  </si>
  <si>
    <t>Burgos</t>
  </si>
  <si>
    <t>Ramirez</t>
  </si>
  <si>
    <t>0011/1234/56/7896541232</t>
  </si>
  <si>
    <t>06/23698740/25</t>
  </si>
  <si>
    <t>05123456c</t>
  </si>
  <si>
    <t>Guillermo</t>
  </si>
  <si>
    <t>Villegas</t>
  </si>
  <si>
    <t>Carmona</t>
  </si>
  <si>
    <t>2108/5896/74/1296036584</t>
  </si>
  <si>
    <t>07/01236987/74</t>
  </si>
  <si>
    <t>00698741G</t>
  </si>
  <si>
    <t>eliana</t>
  </si>
  <si>
    <t>Fernandez</t>
  </si>
  <si>
    <t>De santis</t>
  </si>
  <si>
    <t>0115/0012/02/0036987412</t>
  </si>
  <si>
    <t>08/00125896/23</t>
  </si>
  <si>
    <t>51478963T</t>
  </si>
  <si>
    <t>jose</t>
  </si>
  <si>
    <t>Franco</t>
  </si>
  <si>
    <t>0003/1234/56/7896541232</t>
  </si>
  <si>
    <t>09/36987452/02</t>
  </si>
  <si>
    <t>87456933k</t>
  </si>
  <si>
    <t>marcela</t>
  </si>
  <si>
    <t>Cortes</t>
  </si>
  <si>
    <t>0059/5896/74/1296036585</t>
  </si>
  <si>
    <t>10/23698740/26</t>
  </si>
  <si>
    <t>36140394A</t>
  </si>
  <si>
    <t>Daniela</t>
  </si>
  <si>
    <t>Berrio</t>
  </si>
  <si>
    <t>0086/0012/02/0036987413</t>
  </si>
  <si>
    <t>11/01236987/75</t>
  </si>
  <si>
    <t>09908976R</t>
  </si>
  <si>
    <t>RAFAEL</t>
  </si>
  <si>
    <t>Arias</t>
  </si>
  <si>
    <t>0182/1234/56/7896541232</t>
  </si>
  <si>
    <t>12/00125896/24</t>
  </si>
  <si>
    <t>82551853T</t>
  </si>
  <si>
    <t>Camilo</t>
  </si>
  <si>
    <t>Merizalde</t>
  </si>
  <si>
    <t>0057/5896/74/1296036586</t>
  </si>
  <si>
    <t>13/36987452/03</t>
  </si>
  <si>
    <t>39599652b</t>
  </si>
  <si>
    <t>Francisco</t>
  </si>
  <si>
    <t>Restrepo</t>
  </si>
  <si>
    <t>0030/0012/02/0036987414</t>
  </si>
  <si>
    <t>14/23698740/27</t>
  </si>
  <si>
    <t>83981993J</t>
  </si>
  <si>
    <t>ANTONIO</t>
  </si>
  <si>
    <t>0031/1234/56/7896541232</t>
  </si>
  <si>
    <t>15/01236987/76</t>
  </si>
  <si>
    <t>38368293N</t>
  </si>
  <si>
    <t>KAREN</t>
  </si>
  <si>
    <t>0184/5896/74/1296036587</t>
  </si>
  <si>
    <t>16/00125896/25</t>
  </si>
  <si>
    <t>13878441R</t>
  </si>
  <si>
    <t>DAVID</t>
  </si>
  <si>
    <t>0488/0012/02/0036987415</t>
  </si>
  <si>
    <t>20/36987452/04</t>
  </si>
  <si>
    <t>23899177W</t>
  </si>
  <si>
    <t>JAVIER</t>
  </si>
  <si>
    <t>Lemus</t>
  </si>
  <si>
    <t>Santana</t>
  </si>
  <si>
    <t>0220/1234/56/7896541232</t>
  </si>
  <si>
    <t>21/23698740/28</t>
  </si>
  <si>
    <t>12037408E</t>
  </si>
  <si>
    <t>VIRGINIA</t>
  </si>
  <si>
    <t>Giraldo</t>
  </si>
  <si>
    <t>0046/5896/74/1296036588</t>
  </si>
  <si>
    <t>22/01236987/77</t>
  </si>
  <si>
    <t>51829597Q</t>
  </si>
  <si>
    <t>SERGIO</t>
  </si>
  <si>
    <t>Saldarriaga</t>
  </si>
  <si>
    <t xml:space="preserve">Zea </t>
  </si>
  <si>
    <t>2086/0012/02/0036987416</t>
  </si>
  <si>
    <t>23/00125896/26</t>
  </si>
  <si>
    <t>76792316P</t>
  </si>
  <si>
    <t>JORGE</t>
  </si>
  <si>
    <t>Posada</t>
  </si>
  <si>
    <t xml:space="preserve">Diaz </t>
  </si>
  <si>
    <t>0038/1234/56/7896541232</t>
  </si>
  <si>
    <t>24/36987452/05</t>
  </si>
  <si>
    <t>11471838j</t>
  </si>
  <si>
    <t>MARIANA</t>
  </si>
  <si>
    <t>0099/5896/74/1296036589</t>
  </si>
  <si>
    <t>25/23698740/29</t>
  </si>
  <si>
    <t>51787628H</t>
  </si>
  <si>
    <t>ESTEBAN</t>
  </si>
  <si>
    <t>Aguirre</t>
  </si>
  <si>
    <t>2038/0012/02/0036987417</t>
  </si>
  <si>
    <t>26/01236987/78</t>
  </si>
  <si>
    <t>83226147F</t>
  </si>
  <si>
    <t>Jorge</t>
  </si>
  <si>
    <t>Tamayo</t>
  </si>
  <si>
    <t>0128/1234/56/7896541232</t>
  </si>
  <si>
    <t>27/00125896/27</t>
  </si>
  <si>
    <t>24638305D</t>
  </si>
  <si>
    <t>Alejandro</t>
  </si>
  <si>
    <t>Idarraga</t>
  </si>
  <si>
    <t xml:space="preserve">Carmona </t>
  </si>
  <si>
    <t>0138/5896/74/1296036590</t>
  </si>
  <si>
    <t>28/36987452/06</t>
  </si>
  <si>
    <t>29159604C</t>
  </si>
  <si>
    <t>angelina</t>
  </si>
  <si>
    <t>Simanca</t>
  </si>
  <si>
    <t>0121/0012/02/0036987418</t>
  </si>
  <si>
    <t>29/23698740/30</t>
  </si>
  <si>
    <t>42705442V</t>
  </si>
  <si>
    <t>Brenda</t>
  </si>
  <si>
    <t>Pulgarin</t>
  </si>
  <si>
    <t>Alzate</t>
  </si>
  <si>
    <t>0235/1234/56/7896541232</t>
  </si>
  <si>
    <t>30/01236987/79</t>
  </si>
  <si>
    <t>31116859B</t>
  </si>
  <si>
    <t>Gloria</t>
  </si>
  <si>
    <t>Arango</t>
  </si>
  <si>
    <t>0075/5896/74/1296036591</t>
  </si>
  <si>
    <t>31/00125896/28</t>
  </si>
  <si>
    <t>41234740T</t>
  </si>
  <si>
    <t>andrea</t>
  </si>
  <si>
    <t>Garces</t>
  </si>
  <si>
    <t>0238/0012/02/0036987419</t>
  </si>
  <si>
    <t>32/36987452/07</t>
  </si>
  <si>
    <t>62855876C</t>
  </si>
  <si>
    <t>Lucero</t>
  </si>
  <si>
    <t>Uribe</t>
  </si>
  <si>
    <t>0049/1234/56/7896541232</t>
  </si>
  <si>
    <t>33/23698740/31</t>
  </si>
  <si>
    <t>46396414A</t>
  </si>
  <si>
    <t>Angela</t>
  </si>
  <si>
    <t>0125/5896/74/1296036592</t>
  </si>
  <si>
    <t>34/01236987/80</t>
  </si>
  <si>
    <t>25802293R</t>
  </si>
  <si>
    <t>Felipe</t>
  </si>
  <si>
    <t>0229/0012/02/0036987420</t>
  </si>
  <si>
    <t>35/00125896/29</t>
  </si>
  <si>
    <t>31468784T</t>
  </si>
  <si>
    <t>Elena</t>
  </si>
  <si>
    <t>36/36987452/08</t>
  </si>
  <si>
    <t>02998742U</t>
  </si>
  <si>
    <t>Carmen</t>
  </si>
  <si>
    <t>0099/5896/74/1296036593</t>
  </si>
  <si>
    <t>37/23698740/32</t>
  </si>
  <si>
    <t>78008605J</t>
  </si>
  <si>
    <t>daniel</t>
  </si>
  <si>
    <t>0138/0012/02/0036987421</t>
  </si>
  <si>
    <t>38/01236987/81</t>
  </si>
  <si>
    <t>11073199N</t>
  </si>
  <si>
    <t>alberto</t>
  </si>
  <si>
    <t>Ospina</t>
  </si>
  <si>
    <t>0121/1234/56/7896541232</t>
  </si>
  <si>
    <t>39/00125896/30</t>
  </si>
  <si>
    <t>80034441R</t>
  </si>
  <si>
    <t>elena</t>
  </si>
  <si>
    <t>Peláez</t>
  </si>
  <si>
    <t>0235/5896/74/1296036594</t>
  </si>
  <si>
    <t>40/36987452/09</t>
  </si>
  <si>
    <t>40013159W</t>
  </si>
  <si>
    <t>sebastian</t>
  </si>
  <si>
    <t>Perez</t>
  </si>
  <si>
    <t>0075/0012/02/0036987422</t>
  </si>
  <si>
    <t>41/23698740/33</t>
  </si>
  <si>
    <t>52138799E</t>
  </si>
  <si>
    <t>oscar</t>
  </si>
  <si>
    <t>0238/1234/56/7896541232</t>
  </si>
  <si>
    <t>42/01236987/82</t>
  </si>
  <si>
    <t>64469261Q</t>
  </si>
  <si>
    <t>santiago</t>
  </si>
  <si>
    <t>Cifuentes</t>
  </si>
  <si>
    <t>0049/5896/74/1296036595</t>
  </si>
  <si>
    <t>43/00125896/31</t>
  </si>
  <si>
    <t>03155533P</t>
  </si>
  <si>
    <t>Luis</t>
  </si>
  <si>
    <t>Jaramillo</t>
  </si>
  <si>
    <t>0125/0012/02/0036987423</t>
  </si>
  <si>
    <t>44/36987452/10</t>
  </si>
  <si>
    <t>39194981L</t>
  </si>
  <si>
    <t>Tammy</t>
  </si>
  <si>
    <t>Melano</t>
  </si>
  <si>
    <t>0229/1234/56/7896541232</t>
  </si>
  <si>
    <t>45/23698740/34</t>
  </si>
  <si>
    <t>01661407H</t>
  </si>
  <si>
    <t>Tomas</t>
  </si>
  <si>
    <t>Mendez</t>
  </si>
  <si>
    <t>0038/5896/74/1296036596</t>
  </si>
  <si>
    <t>46/01236987/83</t>
  </si>
  <si>
    <t>19537587F</t>
  </si>
  <si>
    <t>FELIPE</t>
  </si>
  <si>
    <t>0099/0012/02/0036987424</t>
  </si>
  <si>
    <t>47/00125896/32</t>
  </si>
  <si>
    <t>74798213D</t>
  </si>
  <si>
    <t>PATRICIA</t>
  </si>
  <si>
    <t>Girando</t>
  </si>
  <si>
    <t>2108/1234/56/7896541232</t>
  </si>
  <si>
    <t>48/36987452/11</t>
  </si>
  <si>
    <t>34169324C</t>
  </si>
  <si>
    <t>LUISA</t>
  </si>
  <si>
    <t>Diez</t>
  </si>
  <si>
    <t>0115/5896/74/1296036597</t>
  </si>
  <si>
    <t>32/23698740/35</t>
  </si>
  <si>
    <t>26970858V</t>
  </si>
  <si>
    <t>SARA</t>
  </si>
  <si>
    <t>Sierra</t>
  </si>
  <si>
    <t>0003/0012/02/0036987425</t>
  </si>
  <si>
    <t>33/01236987/84</t>
  </si>
  <si>
    <t>02734054B</t>
  </si>
  <si>
    <t>ALEXANDRA</t>
  </si>
  <si>
    <t>Vallejo</t>
  </si>
  <si>
    <t>0059/1234/56/7896541232</t>
  </si>
  <si>
    <t>34/00125896/33</t>
  </si>
  <si>
    <t>45880808C</t>
  </si>
  <si>
    <t>LISA</t>
  </si>
  <si>
    <t>Guerrero</t>
  </si>
  <si>
    <t>0086/5896/74/1296036598</t>
  </si>
  <si>
    <t>35/36987452/12</t>
  </si>
  <si>
    <t>69622703G</t>
  </si>
  <si>
    <t>ANA MARIA</t>
  </si>
  <si>
    <t>Guerra</t>
  </si>
  <si>
    <t>0182/0012/02/0036987426</t>
  </si>
  <si>
    <t>36/23698740/36</t>
  </si>
  <si>
    <t>04890366T</t>
  </si>
  <si>
    <t>SOFIA</t>
  </si>
  <si>
    <t xml:space="preserve">Rodríguez </t>
  </si>
  <si>
    <t>0057/1234/56/7896541232</t>
  </si>
  <si>
    <t>37/01236987/85</t>
  </si>
  <si>
    <t>46619961C</t>
  </si>
  <si>
    <t>PAULA</t>
  </si>
  <si>
    <t>Marulanda</t>
  </si>
  <si>
    <t>0030/5896/74/1296036599</t>
  </si>
  <si>
    <t>38/00125896/34</t>
  </si>
  <si>
    <t>27503874A</t>
  </si>
  <si>
    <t>JESUS</t>
  </si>
  <si>
    <t>Palacio</t>
  </si>
  <si>
    <t>0031/0012/02/0036987427</t>
  </si>
  <si>
    <t>39/36987452/13</t>
  </si>
  <si>
    <t>42023253k</t>
  </si>
  <si>
    <t>ROBERTA</t>
  </si>
  <si>
    <t>Bermudez</t>
  </si>
  <si>
    <t>0184/1234/56/7896541232</t>
  </si>
  <si>
    <t>40/23698740/37</t>
  </si>
  <si>
    <t>00701814T</t>
  </si>
  <si>
    <t>TATIANA</t>
  </si>
  <si>
    <t>Toledo</t>
  </si>
  <si>
    <t>0488/5896/74/1296036600</t>
  </si>
  <si>
    <t>41/01236987/86</t>
  </si>
  <si>
    <t>25769167U</t>
  </si>
  <si>
    <t>MELINA</t>
  </si>
  <si>
    <t>0220/0012/02/0036987428</t>
  </si>
  <si>
    <t>42/00125896/35</t>
  </si>
  <si>
    <t>20444436J</t>
  </si>
  <si>
    <t>CRISTINA</t>
  </si>
  <si>
    <t>Acevedo</t>
  </si>
  <si>
    <t>0046/1234/56/7896541232</t>
  </si>
  <si>
    <t>43/36987452/14</t>
  </si>
  <si>
    <t>57824426N</t>
  </si>
  <si>
    <t>MANUELA</t>
  </si>
  <si>
    <t>Cock</t>
  </si>
  <si>
    <t>2086/5896/74/1296036601</t>
  </si>
  <si>
    <t>44/23698740/38</t>
  </si>
  <si>
    <t>79406624R</t>
  </si>
  <si>
    <t>ISABEL</t>
  </si>
  <si>
    <t>Casadiegos</t>
  </si>
  <si>
    <t>0038/0012/02/0036987429</t>
  </si>
  <si>
    <t>45/01236987/87</t>
  </si>
  <si>
    <t>24932572W</t>
  </si>
  <si>
    <t>Juan</t>
  </si>
  <si>
    <t>Salamanca</t>
  </si>
  <si>
    <t>0099/1234/56/7896541232</t>
  </si>
  <si>
    <t>46/00125896/36</t>
  </si>
  <si>
    <t>68613216E</t>
  </si>
  <si>
    <t>luisa</t>
  </si>
  <si>
    <t>2038/5896/74/1296036602</t>
  </si>
  <si>
    <t>47/36987452/15</t>
  </si>
  <si>
    <t>07089191Q</t>
  </si>
  <si>
    <t>Monica</t>
  </si>
  <si>
    <t>Granda</t>
  </si>
  <si>
    <t>0128/0012/02/0036987430</t>
  </si>
  <si>
    <t>48/23698740/39</t>
  </si>
  <si>
    <t>42093844P</t>
  </si>
  <si>
    <t>federico</t>
  </si>
  <si>
    <t xml:space="preserve">Arango </t>
  </si>
  <si>
    <t>0138/1234/56/7896541232</t>
  </si>
  <si>
    <t>49/01236987/88</t>
  </si>
  <si>
    <t>59926334L</t>
  </si>
  <si>
    <t>Dalia</t>
  </si>
  <si>
    <t>Arroyave</t>
  </si>
  <si>
    <t>0121/5896/74/1296036603</t>
  </si>
  <si>
    <t>50/00125896/37</t>
  </si>
  <si>
    <t>61514920H</t>
  </si>
  <si>
    <t>Ana</t>
  </si>
  <si>
    <t>Lemos</t>
  </si>
  <si>
    <t>0235/0012/02/0036987431</t>
  </si>
  <si>
    <t>51/36987452/16</t>
  </si>
  <si>
    <t>60364089F</t>
  </si>
  <si>
    <t>maria</t>
  </si>
  <si>
    <t>0075/1234/56/7896541232</t>
  </si>
  <si>
    <t>52/23698740/40</t>
  </si>
  <si>
    <t>46685338D</t>
  </si>
  <si>
    <t>Diana</t>
  </si>
  <si>
    <t>Lema</t>
  </si>
  <si>
    <t>0238/5896/74/1296036604</t>
  </si>
  <si>
    <t>01/01236987/89</t>
  </si>
  <si>
    <t>33837462C</t>
  </si>
  <si>
    <t>Amalia</t>
  </si>
  <si>
    <t>Caro</t>
  </si>
  <si>
    <t>0049/0012/02/0036987432</t>
  </si>
  <si>
    <t>02/00125896/38</t>
  </si>
  <si>
    <t>83600083V</t>
  </si>
  <si>
    <t>Julian</t>
  </si>
  <si>
    <t>Vergara</t>
  </si>
  <si>
    <t>0125/1234/56/7896541232</t>
  </si>
  <si>
    <t>03/36987452/17</t>
  </si>
  <si>
    <t>55126429B</t>
  </si>
  <si>
    <t>Maritza</t>
  </si>
  <si>
    <t>Duque</t>
  </si>
  <si>
    <t>0229/5896/74/1296036605</t>
  </si>
  <si>
    <t>04/23698740/41</t>
  </si>
  <si>
    <t>67473172T</t>
  </si>
  <si>
    <t>andrés</t>
  </si>
  <si>
    <t>Muñoz</t>
  </si>
  <si>
    <t>0038/0012/02/0036987433</t>
  </si>
  <si>
    <t>05/01236987/90</t>
  </si>
  <si>
    <t>09591983C</t>
  </si>
  <si>
    <t>Miguel</t>
  </si>
  <si>
    <t>06/00125896/39</t>
  </si>
  <si>
    <t>51975690A</t>
  </si>
  <si>
    <t>Carolina</t>
  </si>
  <si>
    <t>Sanchez</t>
  </si>
  <si>
    <t>0121/5896/74/1296036606</t>
  </si>
  <si>
    <t>07/36987452/18</t>
  </si>
  <si>
    <t>15191882R</t>
  </si>
  <si>
    <t>Jessica</t>
  </si>
  <si>
    <t>Cano</t>
  </si>
  <si>
    <t>0235/0012/02/0036987434</t>
  </si>
  <si>
    <t>08/23698740/42</t>
  </si>
  <si>
    <t>05249209T</t>
  </si>
  <si>
    <t>Samuel</t>
  </si>
  <si>
    <t>Marquez</t>
  </si>
  <si>
    <t>09/01236987/91</t>
  </si>
  <si>
    <t>30576737U</t>
  </si>
  <si>
    <t>Gustavo</t>
  </si>
  <si>
    <t>Rico</t>
  </si>
  <si>
    <t>0238/5896/74/1296036607</t>
  </si>
  <si>
    <t>10/00125896/40</t>
  </si>
  <si>
    <t>62037736r</t>
  </si>
  <si>
    <t>Karina</t>
  </si>
  <si>
    <t>0049/0012/02/0036987435</t>
  </si>
  <si>
    <t>11/36987452/19</t>
  </si>
  <si>
    <t>31363941N</t>
  </si>
  <si>
    <t>Julieth</t>
  </si>
  <si>
    <t>Jimenez</t>
  </si>
  <si>
    <t>12/23698740/43</t>
  </si>
  <si>
    <t>25102028R</t>
  </si>
  <si>
    <t>Lina</t>
  </si>
  <si>
    <t>Osorio</t>
  </si>
  <si>
    <t>0229/5896/74/1296036608</t>
  </si>
  <si>
    <t>13/01236987/92</t>
  </si>
  <si>
    <t>07675790W</t>
  </si>
  <si>
    <t>Carlos</t>
  </si>
  <si>
    <t>Villamizar</t>
  </si>
  <si>
    <t>0038/0012/02/0036987436</t>
  </si>
  <si>
    <t>14/00125896/41</t>
  </si>
  <si>
    <t>64232765E</t>
  </si>
  <si>
    <t>SIMÓN</t>
  </si>
  <si>
    <t>Gomez</t>
  </si>
  <si>
    <t>15/36987452/20</t>
  </si>
  <si>
    <t>51519956Q</t>
  </si>
  <si>
    <t>Gracía</t>
  </si>
  <si>
    <t>0138/5896/74/1296036609</t>
  </si>
  <si>
    <t>16/23698740/44</t>
  </si>
  <si>
    <t>01529392P</t>
  </si>
  <si>
    <t>Melisa</t>
  </si>
  <si>
    <t>Castro</t>
  </si>
  <si>
    <t>0121/0012/02/0036987437</t>
  </si>
  <si>
    <t>17/01236987/93</t>
  </si>
  <si>
    <t>10436525L</t>
  </si>
  <si>
    <t>Alejandra</t>
  </si>
  <si>
    <t>18/00125896/42</t>
  </si>
  <si>
    <t>04703797H</t>
  </si>
  <si>
    <t>AMALIA</t>
  </si>
  <si>
    <t>Florez</t>
  </si>
  <si>
    <t>0075/5896/74/1296036610</t>
  </si>
  <si>
    <t>19/36987452/21</t>
  </si>
  <si>
    <t>34014894F</t>
  </si>
  <si>
    <t>Raquel</t>
  </si>
  <si>
    <t>Gutierrez</t>
  </si>
  <si>
    <t>0238/0012/02/0036987438</t>
  </si>
  <si>
    <t>20/23698740/45</t>
  </si>
  <si>
    <t>42360793D</t>
  </si>
  <si>
    <t>Gonzalo</t>
  </si>
  <si>
    <t>Medina</t>
  </si>
  <si>
    <t xml:space="preserve">Rojas </t>
  </si>
  <si>
    <t>21/01236987/94</t>
  </si>
  <si>
    <t>01968325C</t>
  </si>
  <si>
    <t>Santiago</t>
  </si>
  <si>
    <t>Betancur</t>
  </si>
  <si>
    <t>Serna</t>
  </si>
  <si>
    <t>0125/5896/74/1296036611</t>
  </si>
  <si>
    <t>22/00125896/43</t>
  </si>
  <si>
    <t>62344971V</t>
  </si>
  <si>
    <t>Isabella</t>
  </si>
  <si>
    <t>Betancurt</t>
  </si>
  <si>
    <t>Zapata</t>
  </si>
  <si>
    <t>0229/0012/02/0036987439</t>
  </si>
  <si>
    <t>24/36987452/22</t>
  </si>
  <si>
    <t>47428263B</t>
  </si>
  <si>
    <t>KARLA</t>
  </si>
  <si>
    <t>Toro</t>
  </si>
  <si>
    <t>25/23698740/46</t>
  </si>
  <si>
    <t>19558890R</t>
  </si>
  <si>
    <t>Hilda</t>
  </si>
  <si>
    <t>Molina</t>
  </si>
  <si>
    <t>Henao</t>
  </si>
  <si>
    <t>0099/5896/74/1296036612</t>
  </si>
  <si>
    <t>26/01236987/95</t>
  </si>
  <si>
    <t>39060074T</t>
  </si>
  <si>
    <t>Victoria</t>
  </si>
  <si>
    <t>Rodriguez</t>
  </si>
  <si>
    <t>Vasquez</t>
  </si>
  <si>
    <t>0031/0012/02/0036987440</t>
  </si>
  <si>
    <t>27/00125896/44</t>
  </si>
  <si>
    <t>63424845U</t>
  </si>
  <si>
    <t>Pablo</t>
  </si>
  <si>
    <t>Hincapie</t>
  </si>
  <si>
    <t>Castrillón</t>
  </si>
  <si>
    <t>28/36987452/23</t>
  </si>
  <si>
    <t>63070245J</t>
  </si>
  <si>
    <t>Pamela</t>
  </si>
  <si>
    <t>Lopez</t>
  </si>
  <si>
    <t>0488/5896/74/1296036613</t>
  </si>
  <si>
    <t>29/23698740/47</t>
  </si>
  <si>
    <t>73784423N</t>
  </si>
  <si>
    <t>Stepania</t>
  </si>
  <si>
    <t>Mota</t>
  </si>
  <si>
    <t>0220/0012/02/0036987441</t>
  </si>
  <si>
    <t>30/01236987/96</t>
  </si>
  <si>
    <t>34822785R</t>
  </si>
  <si>
    <t>Manuel</t>
  </si>
  <si>
    <t>31/00125896/45</t>
  </si>
  <si>
    <t>56236718W</t>
  </si>
  <si>
    <t>Barbara</t>
  </si>
  <si>
    <t>2086/5896/74/1296036614</t>
  </si>
  <si>
    <t>32/36987452/24</t>
  </si>
  <si>
    <t>23977784E</t>
  </si>
  <si>
    <t>Leonardo</t>
  </si>
  <si>
    <t>0038/0012/02/0036987442</t>
  </si>
  <si>
    <t>33/23698740/48</t>
  </si>
  <si>
    <t>87141328Q</t>
  </si>
  <si>
    <t>Juliana</t>
  </si>
  <si>
    <t>Hoyos</t>
  </si>
  <si>
    <t>34/01236987/97</t>
  </si>
  <si>
    <t>58008315c</t>
  </si>
  <si>
    <t>Dinara</t>
  </si>
  <si>
    <t>Suarez</t>
  </si>
  <si>
    <t>2038/5896/74/1296036615</t>
  </si>
  <si>
    <t>35/00125896/46</t>
  </si>
  <si>
    <t>51332804L</t>
  </si>
  <si>
    <t>Elisa</t>
  </si>
  <si>
    <t>Aristizabal</t>
  </si>
  <si>
    <t>0128/0012/02/0036987443</t>
  </si>
  <si>
    <t>36/36987452/25</t>
  </si>
  <si>
    <t>62678616H</t>
  </si>
  <si>
    <t>Alicia</t>
  </si>
  <si>
    <t xml:space="preserve">Dominguez </t>
  </si>
  <si>
    <t>37/23698740/49</t>
  </si>
  <si>
    <t>51122721F</t>
  </si>
  <si>
    <t>Ruiz</t>
  </si>
  <si>
    <t>0121/5896/74/1296036616</t>
  </si>
  <si>
    <t>38/01236987/98</t>
  </si>
  <si>
    <t>49750887D</t>
  </si>
  <si>
    <t>Mauricio</t>
  </si>
  <si>
    <t>Higuita</t>
  </si>
  <si>
    <t>0235/0012/02/0036987444</t>
  </si>
  <si>
    <t>39/00125896/47</t>
  </si>
  <si>
    <t>37314157C</t>
  </si>
  <si>
    <t>Adriana</t>
  </si>
  <si>
    <t>40/36987452/26</t>
  </si>
  <si>
    <t>68469693V</t>
  </si>
  <si>
    <t>0238/5896/74/1296036617</t>
  </si>
  <si>
    <t>41/23698740/50</t>
  </si>
  <si>
    <t>76113598B</t>
  </si>
  <si>
    <t>Natalia</t>
  </si>
  <si>
    <t>Bustos</t>
  </si>
  <si>
    <t>0049/0012/02/0036987445</t>
  </si>
  <si>
    <t>42/01236987/99</t>
  </si>
  <si>
    <t>39500157T</t>
  </si>
  <si>
    <t>Camila</t>
  </si>
  <si>
    <t>Rodas</t>
  </si>
  <si>
    <t>43/00125896/48</t>
  </si>
  <si>
    <t>48019070C</t>
  </si>
  <si>
    <t>Susana</t>
  </si>
  <si>
    <t>0229/5896/74/1296036618</t>
  </si>
  <si>
    <t>44/36987452/27</t>
  </si>
  <si>
    <t>47446911A</t>
  </si>
  <si>
    <t>Cathy</t>
  </si>
  <si>
    <t>0038/0012/02/0036987446</t>
  </si>
  <si>
    <t>45/23698740/51</t>
  </si>
  <si>
    <t>02254831R</t>
  </si>
  <si>
    <t>Catalina</t>
  </si>
  <si>
    <t>46/01236987/100</t>
  </si>
  <si>
    <t>56672452T</t>
  </si>
  <si>
    <t>Mariana</t>
  </si>
  <si>
    <t>0121/5896/74/1296036619</t>
  </si>
  <si>
    <t>47/00125896/49</t>
  </si>
  <si>
    <t>62675210U</t>
  </si>
  <si>
    <t>Jacobo</t>
  </si>
  <si>
    <t>0235/0012/02/0036987447</t>
  </si>
  <si>
    <t>48/36987452/28</t>
  </si>
  <si>
    <t>25929612J</t>
  </si>
  <si>
    <t>Gabriel</t>
  </si>
  <si>
    <t>32/23698740/52</t>
  </si>
  <si>
    <t>15360847N</t>
  </si>
  <si>
    <t>Sandra</t>
  </si>
  <si>
    <t>0238/5896/74/1296036620</t>
  </si>
  <si>
    <t>33/01236987/101</t>
  </si>
  <si>
    <t>43085815R</t>
  </si>
  <si>
    <t>Evelyn</t>
  </si>
  <si>
    <t>0049/0012/02/0036987448</t>
  </si>
  <si>
    <t>34/00125896/50</t>
  </si>
  <si>
    <t>09201224W</t>
  </si>
  <si>
    <t>35/36987452/29</t>
  </si>
  <si>
    <t>61772442E</t>
  </si>
  <si>
    <t>David</t>
  </si>
  <si>
    <t xml:space="preserve">Hernandez </t>
  </si>
  <si>
    <t>0229/5896/74/1296036621</t>
  </si>
  <si>
    <t>36/23698740/53</t>
  </si>
  <si>
    <t>81999404Q</t>
  </si>
  <si>
    <t>0038/0012/02/0036987449</t>
  </si>
  <si>
    <t>37/01236987/102</t>
  </si>
  <si>
    <t>34531817f</t>
  </si>
  <si>
    <t>NUM NIF</t>
  </si>
  <si>
    <t>LETRA NIF</t>
  </si>
  <si>
    <t xml:space="preserve"> LETRA NIF MAY</t>
  </si>
  <si>
    <t>NIF FINAL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</si>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</sst>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"/>
  <sheetViews>
    <sheetView tabSelected="1" topLeftCell="C1" workbookViewId="0">
      <selection activeCell="O2" sqref="O2:O115"/>
    </sheetView>
  </sheetViews>
  <sheetFormatPr baseColWidth="10" defaultColWidth="11.42578125" defaultRowHeight="15" x14ac:dyDescent="0.25"/>
  <cols>
    <col min="1" max="1" width="15" bestFit="1" customWidth="1"/>
    <col min="5" max="5" width="23.85546875" bestFit="1" customWidth="1"/>
    <col min="7" max="7" width="15.7109375" customWidth="1"/>
    <col min="8" max="8" width="13.28515625" customWidth="1"/>
    <col min="9" max="9" width="13.28515625" style="7" customWidth="1"/>
    <col min="10" max="10" width="15.7109375" bestFit="1" customWidth="1"/>
    <col min="11" max="11" width="10.85546875" style="1" bestFit="1" customWidth="1"/>
    <col min="12" max="13" width="13.85546875" style="7" customWidth="1"/>
    <col min="14" max="14" width="14.28515625" style="7" bestFit="1" customWidth="1"/>
    <col min="15" max="15" width="15" style="7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6" t="s">
        <v>544</v>
      </c>
      <c r="J1" s="2" t="s">
        <v>8</v>
      </c>
      <c r="K1" s="3" t="s">
        <v>9</v>
      </c>
      <c r="L1" s="6" t="s">
        <v>540</v>
      </c>
      <c r="M1" s="6" t="s">
        <v>541</v>
      </c>
      <c r="N1" s="6" t="s">
        <v>542</v>
      </c>
      <c r="O1" s="6" t="s">
        <v>543</v>
      </c>
    </row>
    <row r="2" spans="1:15" x14ac:dyDescent="0.25">
      <c r="A2">
        <v>1968</v>
      </c>
      <c r="B2" t="s">
        <v>10</v>
      </c>
      <c r="C2" t="s">
        <v>11</v>
      </c>
      <c r="D2" t="s">
        <v>12</v>
      </c>
      <c r="E2" s="1" t="s">
        <v>13</v>
      </c>
      <c r="F2" s="5" t="str">
        <f>LEFT(E2,4)</f>
        <v>0011</v>
      </c>
      <c r="G2" t="str">
        <f>RIGHT(E2,10)</f>
        <v>7896541232</v>
      </c>
      <c r="H2" t="str">
        <f>MID(E2,11,2)</f>
        <v>56</v>
      </c>
      <c r="I2" s="7" t="str">
        <f>MID(E2,6,4)</f>
        <v>1234</v>
      </c>
      <c r="J2" t="s">
        <v>14</v>
      </c>
      <c r="K2" t="s">
        <v>15</v>
      </c>
      <c r="L2" s="7" t="str">
        <f>LEFT(K2,8)</f>
        <v>05123456</v>
      </c>
      <c r="M2" s="7" t="str">
        <f>RIGHT(K2,1)</f>
        <v>c</v>
      </c>
      <c r="N2" s="7" t="str">
        <f>UPPER(M2)</f>
        <v>C</v>
      </c>
      <c r="O2" s="7" t="str">
        <f>_xlfn.CONCAT(L2,"-",N2)</f>
        <v>05123456-C</v>
      </c>
    </row>
    <row r="3" spans="1:15" x14ac:dyDescent="0.25">
      <c r="A3">
        <v>1674</v>
      </c>
      <c r="B3" t="s">
        <v>16</v>
      </c>
      <c r="C3" t="s">
        <v>17</v>
      </c>
      <c r="D3" t="s">
        <v>18</v>
      </c>
      <c r="E3" s="1" t="s">
        <v>19</v>
      </c>
      <c r="F3" s="5" t="str">
        <f t="shared" ref="F3:F66" si="0">LEFT(E3,4)</f>
        <v>2108</v>
      </c>
      <c r="G3" t="str">
        <f t="shared" ref="G3:G66" si="1">RIGHT(E3,10)</f>
        <v>1296036584</v>
      </c>
      <c r="H3" t="str">
        <f t="shared" ref="H3:H66" si="2">MID(E3,11,2)</f>
        <v>74</v>
      </c>
      <c r="I3" s="7" t="str">
        <f t="shared" ref="I3:I66" si="3">MID(E3,6,4)</f>
        <v>5896</v>
      </c>
      <c r="J3" t="s">
        <v>20</v>
      </c>
      <c r="K3" t="s">
        <v>21</v>
      </c>
      <c r="L3" s="7" t="str">
        <f t="shared" ref="L3:L66" si="4">LEFT(K3,8)</f>
        <v>00698741</v>
      </c>
      <c r="M3" s="7" t="str">
        <f t="shared" ref="M3:M66" si="5">RIGHT(K3,1)</f>
        <v>G</v>
      </c>
      <c r="N3" s="7" t="str">
        <f t="shared" ref="N3:N66" si="6">UPPER(M3)</f>
        <v>G</v>
      </c>
      <c r="O3" s="7" t="str">
        <f t="shared" ref="O3:O66" si="7">_xlfn.CONCAT(L3,"-",N3)</f>
        <v>00698741-G</v>
      </c>
    </row>
    <row r="4" spans="1:15" x14ac:dyDescent="0.25">
      <c r="A4">
        <v>1516</v>
      </c>
      <c r="B4" t="s">
        <v>22</v>
      </c>
      <c r="C4" t="s">
        <v>23</v>
      </c>
      <c r="D4" t="s">
        <v>24</v>
      </c>
      <c r="E4" s="1" t="s">
        <v>25</v>
      </c>
      <c r="F4" s="5" t="str">
        <f t="shared" si="0"/>
        <v>0115</v>
      </c>
      <c r="G4" t="str">
        <f t="shared" si="1"/>
        <v>0036987412</v>
      </c>
      <c r="H4" t="str">
        <f t="shared" si="2"/>
        <v>02</v>
      </c>
      <c r="I4" s="7" t="str">
        <f t="shared" si="3"/>
        <v>0012</v>
      </c>
      <c r="J4" t="s">
        <v>26</v>
      </c>
      <c r="K4" t="s">
        <v>27</v>
      </c>
      <c r="L4" s="7" t="str">
        <f t="shared" si="4"/>
        <v>51478963</v>
      </c>
      <c r="M4" s="7" t="str">
        <f t="shared" si="5"/>
        <v>T</v>
      </c>
      <c r="N4" s="7" t="str">
        <f t="shared" si="6"/>
        <v>T</v>
      </c>
      <c r="O4" s="7" t="str">
        <f t="shared" si="7"/>
        <v>51478963-T</v>
      </c>
    </row>
    <row r="5" spans="1:15" x14ac:dyDescent="0.25">
      <c r="A5">
        <v>1330</v>
      </c>
      <c r="B5" t="s">
        <v>28</v>
      </c>
      <c r="C5" t="s">
        <v>12</v>
      </c>
      <c r="D5" t="s">
        <v>29</v>
      </c>
      <c r="E5" s="1" t="s">
        <v>30</v>
      </c>
      <c r="F5" s="5" t="str">
        <f t="shared" si="0"/>
        <v>0003</v>
      </c>
      <c r="G5" t="str">
        <f t="shared" si="1"/>
        <v>7896541232</v>
      </c>
      <c r="H5" t="str">
        <f t="shared" si="2"/>
        <v>56</v>
      </c>
      <c r="I5" s="7" t="str">
        <f t="shared" si="3"/>
        <v>1234</v>
      </c>
      <c r="J5" t="s">
        <v>31</v>
      </c>
      <c r="K5" t="s">
        <v>32</v>
      </c>
      <c r="L5" s="7" t="str">
        <f t="shared" si="4"/>
        <v>87456933</v>
      </c>
      <c r="M5" s="7" t="str">
        <f t="shared" si="5"/>
        <v>k</v>
      </c>
      <c r="N5" s="7" t="str">
        <f t="shared" si="6"/>
        <v>K</v>
      </c>
      <c r="O5" s="7" t="str">
        <f t="shared" si="7"/>
        <v>87456933-K</v>
      </c>
    </row>
    <row r="6" spans="1:15" x14ac:dyDescent="0.25">
      <c r="A6">
        <v>1657</v>
      </c>
      <c r="B6" t="s">
        <v>33</v>
      </c>
      <c r="C6" t="s">
        <v>18</v>
      </c>
      <c r="D6" t="s">
        <v>34</v>
      </c>
      <c r="E6" s="1" t="s">
        <v>35</v>
      </c>
      <c r="F6" s="5" t="str">
        <f t="shared" si="0"/>
        <v>0059</v>
      </c>
      <c r="G6" t="str">
        <f t="shared" si="1"/>
        <v>1296036585</v>
      </c>
      <c r="H6" t="str">
        <f t="shared" si="2"/>
        <v>74</v>
      </c>
      <c r="I6" s="7" t="str">
        <f t="shared" si="3"/>
        <v>5896</v>
      </c>
      <c r="J6" t="s">
        <v>36</v>
      </c>
      <c r="K6" t="s">
        <v>37</v>
      </c>
      <c r="L6" s="7" t="str">
        <f t="shared" si="4"/>
        <v>36140394</v>
      </c>
      <c r="M6" s="7" t="str">
        <f t="shared" si="5"/>
        <v>A</v>
      </c>
      <c r="N6" s="7" t="str">
        <f t="shared" si="6"/>
        <v>A</v>
      </c>
      <c r="O6" s="7" t="str">
        <f t="shared" si="7"/>
        <v>36140394-A</v>
      </c>
    </row>
    <row r="7" spans="1:15" x14ac:dyDescent="0.25">
      <c r="A7">
        <v>1573</v>
      </c>
      <c r="B7" t="s">
        <v>38</v>
      </c>
      <c r="C7" t="s">
        <v>24</v>
      </c>
      <c r="D7" t="s">
        <v>39</v>
      </c>
      <c r="E7" s="1" t="s">
        <v>40</v>
      </c>
      <c r="F7" s="5" t="str">
        <f t="shared" si="0"/>
        <v>0086</v>
      </c>
      <c r="G7" t="str">
        <f t="shared" si="1"/>
        <v>0036987413</v>
      </c>
      <c r="H7" t="str">
        <f t="shared" si="2"/>
        <v>02</v>
      </c>
      <c r="I7" s="7" t="str">
        <f t="shared" si="3"/>
        <v>0012</v>
      </c>
      <c r="J7" t="s">
        <v>41</v>
      </c>
      <c r="K7" t="s">
        <v>42</v>
      </c>
      <c r="L7" s="7" t="str">
        <f t="shared" si="4"/>
        <v>09908976</v>
      </c>
      <c r="M7" s="7" t="str">
        <f t="shared" si="5"/>
        <v>R</v>
      </c>
      <c r="N7" s="7" t="str">
        <f t="shared" si="6"/>
        <v>R</v>
      </c>
      <c r="O7" s="7" t="str">
        <f t="shared" si="7"/>
        <v>09908976-R</v>
      </c>
    </row>
    <row r="8" spans="1:15" x14ac:dyDescent="0.25">
      <c r="A8">
        <v>1658</v>
      </c>
      <c r="B8" t="s">
        <v>43</v>
      </c>
      <c r="C8" t="s">
        <v>29</v>
      </c>
      <c r="D8" t="s">
        <v>44</v>
      </c>
      <c r="E8" s="1" t="s">
        <v>45</v>
      </c>
      <c r="F8" s="5" t="str">
        <f t="shared" si="0"/>
        <v>0182</v>
      </c>
      <c r="G8" t="str">
        <f t="shared" si="1"/>
        <v>7896541232</v>
      </c>
      <c r="H8" t="str">
        <f t="shared" si="2"/>
        <v>56</v>
      </c>
      <c r="I8" s="7" t="str">
        <f t="shared" si="3"/>
        <v>1234</v>
      </c>
      <c r="J8" t="s">
        <v>46</v>
      </c>
      <c r="K8" t="s">
        <v>47</v>
      </c>
      <c r="L8" s="7" t="str">
        <f t="shared" si="4"/>
        <v>82551853</v>
      </c>
      <c r="M8" s="7" t="str">
        <f t="shared" si="5"/>
        <v>T</v>
      </c>
      <c r="N8" s="7" t="str">
        <f t="shared" si="6"/>
        <v>T</v>
      </c>
      <c r="O8" s="7" t="str">
        <f t="shared" si="7"/>
        <v>82551853-T</v>
      </c>
    </row>
    <row r="9" spans="1:15" x14ac:dyDescent="0.25">
      <c r="A9">
        <v>1078</v>
      </c>
      <c r="B9" t="s">
        <v>48</v>
      </c>
      <c r="C9" t="s">
        <v>34</v>
      </c>
      <c r="D9" t="s">
        <v>49</v>
      </c>
      <c r="E9" s="1" t="s">
        <v>50</v>
      </c>
      <c r="F9" s="5" t="str">
        <f t="shared" si="0"/>
        <v>0057</v>
      </c>
      <c r="G9" t="str">
        <f t="shared" si="1"/>
        <v>1296036586</v>
      </c>
      <c r="H9" t="str">
        <f t="shared" si="2"/>
        <v>74</v>
      </c>
      <c r="I9" s="7" t="str">
        <f t="shared" si="3"/>
        <v>5896</v>
      </c>
      <c r="J9" t="s">
        <v>51</v>
      </c>
      <c r="K9" t="s">
        <v>52</v>
      </c>
      <c r="L9" s="7" t="str">
        <f t="shared" si="4"/>
        <v>39599652</v>
      </c>
      <c r="M9" s="7" t="str">
        <f t="shared" si="5"/>
        <v>b</v>
      </c>
      <c r="N9" s="7" t="str">
        <f t="shared" si="6"/>
        <v>B</v>
      </c>
      <c r="O9" s="7" t="str">
        <f t="shared" si="7"/>
        <v>39599652-B</v>
      </c>
    </row>
    <row r="10" spans="1:15" x14ac:dyDescent="0.25">
      <c r="A10">
        <v>1695</v>
      </c>
      <c r="B10" t="s">
        <v>53</v>
      </c>
      <c r="C10" t="s">
        <v>39</v>
      </c>
      <c r="D10" t="s">
        <v>54</v>
      </c>
      <c r="E10" s="1" t="s">
        <v>55</v>
      </c>
      <c r="F10" s="5" t="str">
        <f t="shared" si="0"/>
        <v>0030</v>
      </c>
      <c r="G10" t="str">
        <f t="shared" si="1"/>
        <v>0036987414</v>
      </c>
      <c r="H10" t="str">
        <f t="shared" si="2"/>
        <v>02</v>
      </c>
      <c r="I10" s="7" t="str">
        <f t="shared" si="3"/>
        <v>0012</v>
      </c>
      <c r="J10" t="s">
        <v>56</v>
      </c>
      <c r="K10" t="s">
        <v>57</v>
      </c>
      <c r="L10" s="7" t="str">
        <f t="shared" si="4"/>
        <v>83981993</v>
      </c>
      <c r="M10" s="7" t="str">
        <f t="shared" si="5"/>
        <v>J</v>
      </c>
      <c r="N10" s="7" t="str">
        <f t="shared" si="6"/>
        <v>J</v>
      </c>
      <c r="O10" s="7" t="str">
        <f t="shared" si="7"/>
        <v>83981993-J</v>
      </c>
    </row>
    <row r="11" spans="1:15" x14ac:dyDescent="0.25">
      <c r="A11">
        <v>1285</v>
      </c>
      <c r="B11" t="s">
        <v>58</v>
      </c>
      <c r="C11" t="s">
        <v>44</v>
      </c>
      <c r="D11" t="s">
        <v>44</v>
      </c>
      <c r="E11" s="1" t="s">
        <v>59</v>
      </c>
      <c r="F11" s="5" t="str">
        <f t="shared" si="0"/>
        <v>0031</v>
      </c>
      <c r="G11" t="str">
        <f t="shared" si="1"/>
        <v>7896541232</v>
      </c>
      <c r="H11" t="str">
        <f t="shared" si="2"/>
        <v>56</v>
      </c>
      <c r="I11" s="7" t="str">
        <f t="shared" si="3"/>
        <v>1234</v>
      </c>
      <c r="J11" t="s">
        <v>60</v>
      </c>
      <c r="K11" t="s">
        <v>61</v>
      </c>
      <c r="L11" s="7" t="str">
        <f t="shared" si="4"/>
        <v>38368293</v>
      </c>
      <c r="M11" s="7" t="str">
        <f t="shared" si="5"/>
        <v>N</v>
      </c>
      <c r="N11" s="7" t="str">
        <f t="shared" si="6"/>
        <v>N</v>
      </c>
      <c r="O11" s="7" t="str">
        <f t="shared" si="7"/>
        <v>38368293-N</v>
      </c>
    </row>
    <row r="12" spans="1:15" x14ac:dyDescent="0.25">
      <c r="A12">
        <v>1284</v>
      </c>
      <c r="B12" t="s">
        <v>62</v>
      </c>
      <c r="C12" t="s">
        <v>49</v>
      </c>
      <c r="D12" t="s">
        <v>49</v>
      </c>
      <c r="E12" s="1" t="s">
        <v>63</v>
      </c>
      <c r="F12" s="5" t="str">
        <f t="shared" si="0"/>
        <v>0184</v>
      </c>
      <c r="G12" t="str">
        <f t="shared" si="1"/>
        <v>1296036587</v>
      </c>
      <c r="H12" t="str">
        <f t="shared" si="2"/>
        <v>74</v>
      </c>
      <c r="I12" s="7" t="str">
        <f t="shared" si="3"/>
        <v>5896</v>
      </c>
      <c r="J12" t="s">
        <v>64</v>
      </c>
      <c r="K12" t="s">
        <v>65</v>
      </c>
      <c r="L12" s="7" t="str">
        <f t="shared" si="4"/>
        <v>13878441</v>
      </c>
      <c r="M12" s="7" t="str">
        <f t="shared" si="5"/>
        <v>R</v>
      </c>
      <c r="N12" s="7" t="str">
        <f t="shared" si="6"/>
        <v>R</v>
      </c>
      <c r="O12" s="7" t="str">
        <f t="shared" si="7"/>
        <v>13878441-R</v>
      </c>
    </row>
    <row r="13" spans="1:15" x14ac:dyDescent="0.25">
      <c r="A13">
        <v>1517</v>
      </c>
      <c r="B13" t="s">
        <v>66</v>
      </c>
      <c r="C13" t="s">
        <v>54</v>
      </c>
      <c r="D13" t="s">
        <v>54</v>
      </c>
      <c r="E13" s="1" t="s">
        <v>67</v>
      </c>
      <c r="F13" s="5" t="str">
        <f t="shared" si="0"/>
        <v>0488</v>
      </c>
      <c r="G13" t="str">
        <f t="shared" si="1"/>
        <v>0036987415</v>
      </c>
      <c r="H13" t="str">
        <f t="shared" si="2"/>
        <v>02</v>
      </c>
      <c r="I13" s="7" t="str">
        <f t="shared" si="3"/>
        <v>0012</v>
      </c>
      <c r="J13" t="s">
        <v>68</v>
      </c>
      <c r="K13" t="s">
        <v>69</v>
      </c>
      <c r="L13" s="7" t="str">
        <f t="shared" si="4"/>
        <v>23899177</v>
      </c>
      <c r="M13" s="7" t="str">
        <f t="shared" si="5"/>
        <v>W</v>
      </c>
      <c r="N13" s="7" t="str">
        <f t="shared" si="6"/>
        <v>W</v>
      </c>
      <c r="O13" s="7" t="str">
        <f t="shared" si="7"/>
        <v>23899177-W</v>
      </c>
    </row>
    <row r="14" spans="1:15" x14ac:dyDescent="0.25">
      <c r="A14">
        <v>1674</v>
      </c>
      <c r="B14" t="s">
        <v>70</v>
      </c>
      <c r="C14" t="s">
        <v>71</v>
      </c>
      <c r="D14" t="s">
        <v>72</v>
      </c>
      <c r="E14" s="1" t="s">
        <v>73</v>
      </c>
      <c r="F14" s="5" t="str">
        <f t="shared" si="0"/>
        <v>0220</v>
      </c>
      <c r="G14" t="str">
        <f t="shared" si="1"/>
        <v>7896541232</v>
      </c>
      <c r="H14" t="str">
        <f t="shared" si="2"/>
        <v>56</v>
      </c>
      <c r="I14" s="7" t="str">
        <f t="shared" si="3"/>
        <v>1234</v>
      </c>
      <c r="J14" t="s">
        <v>74</v>
      </c>
      <c r="K14" t="s">
        <v>75</v>
      </c>
      <c r="L14" s="7" t="str">
        <f t="shared" si="4"/>
        <v>12037408</v>
      </c>
      <c r="M14" s="7" t="str">
        <f t="shared" si="5"/>
        <v>E</v>
      </c>
      <c r="N14" s="7" t="str">
        <f t="shared" si="6"/>
        <v>E</v>
      </c>
      <c r="O14" s="7" t="str">
        <f t="shared" si="7"/>
        <v>12037408-E</v>
      </c>
    </row>
    <row r="15" spans="1:15" x14ac:dyDescent="0.25">
      <c r="A15">
        <v>1056</v>
      </c>
      <c r="B15" t="s">
        <v>76</v>
      </c>
      <c r="C15" t="s">
        <v>72</v>
      </c>
      <c r="D15" t="s">
        <v>77</v>
      </c>
      <c r="E15" s="1" t="s">
        <v>78</v>
      </c>
      <c r="F15" s="5" t="str">
        <f t="shared" si="0"/>
        <v>0046</v>
      </c>
      <c r="G15" t="str">
        <f t="shared" si="1"/>
        <v>1296036588</v>
      </c>
      <c r="H15" t="str">
        <f t="shared" si="2"/>
        <v>74</v>
      </c>
      <c r="I15" s="7" t="str">
        <f t="shared" si="3"/>
        <v>5896</v>
      </c>
      <c r="J15" t="s">
        <v>79</v>
      </c>
      <c r="K15" t="s">
        <v>80</v>
      </c>
      <c r="L15" s="7" t="str">
        <f t="shared" si="4"/>
        <v>51829597</v>
      </c>
      <c r="M15" s="7" t="str">
        <f t="shared" si="5"/>
        <v>Q</v>
      </c>
      <c r="N15" s="7" t="str">
        <f t="shared" si="6"/>
        <v>Q</v>
      </c>
      <c r="O15" s="7" t="str">
        <f t="shared" si="7"/>
        <v>51829597-Q</v>
      </c>
    </row>
    <row r="16" spans="1:15" x14ac:dyDescent="0.25">
      <c r="A16">
        <v>1977</v>
      </c>
      <c r="B16" t="s">
        <v>81</v>
      </c>
      <c r="C16" t="s">
        <v>82</v>
      </c>
      <c r="D16" t="s">
        <v>83</v>
      </c>
      <c r="E16" s="1" t="s">
        <v>84</v>
      </c>
      <c r="F16" s="5" t="str">
        <f t="shared" si="0"/>
        <v>2086</v>
      </c>
      <c r="G16" t="str">
        <f t="shared" si="1"/>
        <v>0036987416</v>
      </c>
      <c r="H16" t="str">
        <f t="shared" si="2"/>
        <v>02</v>
      </c>
      <c r="I16" s="7" t="str">
        <f t="shared" si="3"/>
        <v>0012</v>
      </c>
      <c r="J16" t="s">
        <v>85</v>
      </c>
      <c r="K16" t="s">
        <v>86</v>
      </c>
      <c r="L16" s="7" t="str">
        <f t="shared" si="4"/>
        <v>76792316</v>
      </c>
      <c r="M16" s="7" t="str">
        <f t="shared" si="5"/>
        <v>P</v>
      </c>
      <c r="N16" s="7" t="str">
        <f t="shared" si="6"/>
        <v>P</v>
      </c>
      <c r="O16" s="7" t="str">
        <f t="shared" si="7"/>
        <v>76792316-P</v>
      </c>
    </row>
    <row r="17" spans="1:15" x14ac:dyDescent="0.25">
      <c r="A17">
        <v>1725</v>
      </c>
      <c r="B17" t="s">
        <v>87</v>
      </c>
      <c r="C17" t="s">
        <v>88</v>
      </c>
      <c r="D17" t="s">
        <v>89</v>
      </c>
      <c r="E17" s="1" t="s">
        <v>90</v>
      </c>
      <c r="F17" s="5" t="str">
        <f t="shared" si="0"/>
        <v>0038</v>
      </c>
      <c r="G17" t="str">
        <f t="shared" si="1"/>
        <v>7896541232</v>
      </c>
      <c r="H17" t="str">
        <f t="shared" si="2"/>
        <v>56</v>
      </c>
      <c r="I17" s="7" t="str">
        <f t="shared" si="3"/>
        <v>1234</v>
      </c>
      <c r="J17" t="s">
        <v>91</v>
      </c>
      <c r="K17" t="s">
        <v>92</v>
      </c>
      <c r="L17" s="7" t="str">
        <f t="shared" si="4"/>
        <v>11471838</v>
      </c>
      <c r="M17" s="7" t="str">
        <f t="shared" si="5"/>
        <v>j</v>
      </c>
      <c r="N17" s="7" t="str">
        <f t="shared" si="6"/>
        <v>J</v>
      </c>
      <c r="O17" s="7" t="str">
        <f t="shared" si="7"/>
        <v>11471838-J</v>
      </c>
    </row>
    <row r="18" spans="1:15" x14ac:dyDescent="0.25">
      <c r="A18">
        <v>1675</v>
      </c>
      <c r="B18" t="s">
        <v>93</v>
      </c>
      <c r="C18" t="s">
        <v>83</v>
      </c>
      <c r="D18" t="s">
        <v>77</v>
      </c>
      <c r="E18" s="1" t="s">
        <v>94</v>
      </c>
      <c r="F18" s="5" t="str">
        <f t="shared" si="0"/>
        <v>0099</v>
      </c>
      <c r="G18" t="str">
        <f t="shared" si="1"/>
        <v>1296036589</v>
      </c>
      <c r="H18" t="str">
        <f t="shared" si="2"/>
        <v>74</v>
      </c>
      <c r="I18" s="7" t="str">
        <f t="shared" si="3"/>
        <v>5896</v>
      </c>
      <c r="J18" t="s">
        <v>95</v>
      </c>
      <c r="K18" t="s">
        <v>96</v>
      </c>
      <c r="L18" s="7" t="str">
        <f t="shared" si="4"/>
        <v>51787628</v>
      </c>
      <c r="M18" s="7" t="str">
        <f t="shared" si="5"/>
        <v>H</v>
      </c>
      <c r="N18" s="7" t="str">
        <f t="shared" si="6"/>
        <v>H</v>
      </c>
      <c r="O18" s="7" t="str">
        <f t="shared" si="7"/>
        <v>51787628-H</v>
      </c>
    </row>
    <row r="19" spans="1:15" x14ac:dyDescent="0.25">
      <c r="A19">
        <v>1968</v>
      </c>
      <c r="B19" t="s">
        <v>97</v>
      </c>
      <c r="C19" t="s">
        <v>89</v>
      </c>
      <c r="D19" t="s">
        <v>98</v>
      </c>
      <c r="E19" s="1" t="s">
        <v>99</v>
      </c>
      <c r="F19" s="5" t="str">
        <f t="shared" si="0"/>
        <v>2038</v>
      </c>
      <c r="G19" t="str">
        <f t="shared" si="1"/>
        <v>0036987417</v>
      </c>
      <c r="H19" t="str">
        <f t="shared" si="2"/>
        <v>02</v>
      </c>
      <c r="I19" s="7" t="str">
        <f t="shared" si="3"/>
        <v>0012</v>
      </c>
      <c r="J19" t="s">
        <v>100</v>
      </c>
      <c r="K19" t="s">
        <v>101</v>
      </c>
      <c r="L19" s="7" t="str">
        <f t="shared" si="4"/>
        <v>83226147</v>
      </c>
      <c r="M19" s="7" t="str">
        <f t="shared" si="5"/>
        <v>F</v>
      </c>
      <c r="N19" s="7" t="str">
        <f t="shared" si="6"/>
        <v>F</v>
      </c>
      <c r="O19" s="7" t="str">
        <f t="shared" si="7"/>
        <v>83226147-F</v>
      </c>
    </row>
    <row r="20" spans="1:15" x14ac:dyDescent="0.25">
      <c r="A20">
        <v>1723</v>
      </c>
      <c r="B20" t="s">
        <v>102</v>
      </c>
      <c r="C20" t="s">
        <v>77</v>
      </c>
      <c r="D20" t="s">
        <v>103</v>
      </c>
      <c r="E20" s="1" t="s">
        <v>104</v>
      </c>
      <c r="F20" s="5" t="str">
        <f t="shared" si="0"/>
        <v>0128</v>
      </c>
      <c r="G20" t="str">
        <f t="shared" si="1"/>
        <v>7896541232</v>
      </c>
      <c r="H20" t="str">
        <f t="shared" si="2"/>
        <v>56</v>
      </c>
      <c r="I20" s="7" t="str">
        <f t="shared" si="3"/>
        <v>1234</v>
      </c>
      <c r="J20" t="s">
        <v>105</v>
      </c>
      <c r="K20" t="s">
        <v>106</v>
      </c>
      <c r="L20" s="7" t="str">
        <f t="shared" si="4"/>
        <v>24638305</v>
      </c>
      <c r="M20" s="7" t="str">
        <f t="shared" si="5"/>
        <v>D</v>
      </c>
      <c r="N20" s="7" t="str">
        <f t="shared" si="6"/>
        <v>D</v>
      </c>
      <c r="O20" s="7" t="str">
        <f t="shared" si="7"/>
        <v>24638305-D</v>
      </c>
    </row>
    <row r="21" spans="1:15" x14ac:dyDescent="0.25">
      <c r="A21">
        <v>1076</v>
      </c>
      <c r="B21" t="s">
        <v>107</v>
      </c>
      <c r="C21" t="s">
        <v>108</v>
      </c>
      <c r="D21" t="s">
        <v>109</v>
      </c>
      <c r="E21" s="1" t="s">
        <v>110</v>
      </c>
      <c r="F21" s="5" t="str">
        <f t="shared" si="0"/>
        <v>0138</v>
      </c>
      <c r="G21" t="str">
        <f t="shared" si="1"/>
        <v>1296036590</v>
      </c>
      <c r="H21" t="str">
        <f t="shared" si="2"/>
        <v>74</v>
      </c>
      <c r="I21" s="7" t="str">
        <f t="shared" si="3"/>
        <v>5896</v>
      </c>
      <c r="J21" t="s">
        <v>111</v>
      </c>
      <c r="K21" t="s">
        <v>112</v>
      </c>
      <c r="L21" s="7" t="str">
        <f t="shared" si="4"/>
        <v>29159604</v>
      </c>
      <c r="M21" s="7" t="str">
        <f t="shared" si="5"/>
        <v>C</v>
      </c>
      <c r="N21" s="7" t="str">
        <f t="shared" si="6"/>
        <v>C</v>
      </c>
      <c r="O21" s="7" t="str">
        <f t="shared" si="7"/>
        <v>29159604-C</v>
      </c>
    </row>
    <row r="22" spans="1:15" x14ac:dyDescent="0.25">
      <c r="A22">
        <v>1816</v>
      </c>
      <c r="B22" t="s">
        <v>113</v>
      </c>
      <c r="C22" t="s">
        <v>114</v>
      </c>
      <c r="D22" t="s">
        <v>89</v>
      </c>
      <c r="E22" s="1" t="s">
        <v>115</v>
      </c>
      <c r="F22" s="5" t="str">
        <f t="shared" si="0"/>
        <v>0121</v>
      </c>
      <c r="G22" t="str">
        <f t="shared" si="1"/>
        <v>0036987418</v>
      </c>
      <c r="H22" t="str">
        <f t="shared" si="2"/>
        <v>02</v>
      </c>
      <c r="I22" s="7" t="str">
        <f t="shared" si="3"/>
        <v>0012</v>
      </c>
      <c r="J22" t="s">
        <v>116</v>
      </c>
      <c r="K22" t="s">
        <v>117</v>
      </c>
      <c r="L22" s="7" t="str">
        <f t="shared" si="4"/>
        <v>42705442</v>
      </c>
      <c r="M22" s="7" t="str">
        <f t="shared" si="5"/>
        <v>V</v>
      </c>
      <c r="N22" s="7" t="str">
        <f t="shared" si="6"/>
        <v>V</v>
      </c>
      <c r="O22" s="7" t="str">
        <f t="shared" si="7"/>
        <v>42705442-V</v>
      </c>
    </row>
    <row r="23" spans="1:15" x14ac:dyDescent="0.25">
      <c r="A23">
        <v>1154</v>
      </c>
      <c r="B23" t="s">
        <v>118</v>
      </c>
      <c r="C23" t="s">
        <v>119</v>
      </c>
      <c r="D23" t="s">
        <v>120</v>
      </c>
      <c r="E23" s="1" t="s">
        <v>121</v>
      </c>
      <c r="F23" s="5" t="str">
        <f t="shared" si="0"/>
        <v>0235</v>
      </c>
      <c r="G23" t="str">
        <f t="shared" si="1"/>
        <v>7896541232</v>
      </c>
      <c r="H23" t="str">
        <f t="shared" si="2"/>
        <v>56</v>
      </c>
      <c r="I23" s="7" t="str">
        <f t="shared" si="3"/>
        <v>1234</v>
      </c>
      <c r="J23" t="s">
        <v>122</v>
      </c>
      <c r="K23" t="s">
        <v>123</v>
      </c>
      <c r="L23" s="7" t="str">
        <f t="shared" si="4"/>
        <v>31116859</v>
      </c>
      <c r="M23" s="7" t="str">
        <f t="shared" si="5"/>
        <v>B</v>
      </c>
      <c r="N23" s="7" t="str">
        <f t="shared" si="6"/>
        <v>B</v>
      </c>
      <c r="O23" s="7" t="str">
        <f t="shared" si="7"/>
        <v>31116859-B</v>
      </c>
    </row>
    <row r="24" spans="1:15" x14ac:dyDescent="0.25">
      <c r="A24">
        <v>1294</v>
      </c>
      <c r="B24" t="s">
        <v>124</v>
      </c>
      <c r="C24" t="s">
        <v>98</v>
      </c>
      <c r="D24" t="s">
        <v>125</v>
      </c>
      <c r="E24" s="1" t="s">
        <v>126</v>
      </c>
      <c r="F24" s="5" t="str">
        <f t="shared" si="0"/>
        <v>0075</v>
      </c>
      <c r="G24" t="str">
        <f t="shared" si="1"/>
        <v>1296036591</v>
      </c>
      <c r="H24" t="str">
        <f t="shared" si="2"/>
        <v>74</v>
      </c>
      <c r="I24" s="7" t="str">
        <f t="shared" si="3"/>
        <v>5896</v>
      </c>
      <c r="J24" t="s">
        <v>127</v>
      </c>
      <c r="K24" t="s">
        <v>128</v>
      </c>
      <c r="L24" s="7" t="str">
        <f t="shared" si="4"/>
        <v>41234740</v>
      </c>
      <c r="M24" s="7" t="str">
        <f t="shared" si="5"/>
        <v>T</v>
      </c>
      <c r="N24" s="7" t="str">
        <f t="shared" si="6"/>
        <v>T</v>
      </c>
      <c r="O24" s="7" t="str">
        <f t="shared" si="7"/>
        <v>41234740-T</v>
      </c>
    </row>
    <row r="25" spans="1:15" x14ac:dyDescent="0.25">
      <c r="A25">
        <v>1428</v>
      </c>
      <c r="B25" t="s">
        <v>129</v>
      </c>
      <c r="C25" t="s">
        <v>103</v>
      </c>
      <c r="D25" t="s">
        <v>130</v>
      </c>
      <c r="E25" s="1" t="s">
        <v>131</v>
      </c>
      <c r="F25" s="5" t="str">
        <f t="shared" si="0"/>
        <v>0238</v>
      </c>
      <c r="G25" t="str">
        <f t="shared" si="1"/>
        <v>0036987419</v>
      </c>
      <c r="H25" t="str">
        <f t="shared" si="2"/>
        <v>02</v>
      </c>
      <c r="I25" s="7" t="str">
        <f t="shared" si="3"/>
        <v>0012</v>
      </c>
      <c r="J25" t="s">
        <v>132</v>
      </c>
      <c r="K25" t="s">
        <v>133</v>
      </c>
      <c r="L25" s="7" t="str">
        <f t="shared" si="4"/>
        <v>62855876</v>
      </c>
      <c r="M25" s="7" t="str">
        <f t="shared" si="5"/>
        <v>C</v>
      </c>
      <c r="N25" s="7" t="str">
        <f t="shared" si="6"/>
        <v>C</v>
      </c>
      <c r="O25" s="7" t="str">
        <f t="shared" si="7"/>
        <v>62855876-C</v>
      </c>
    </row>
    <row r="26" spans="1:15" x14ac:dyDescent="0.25">
      <c r="A26">
        <v>1814</v>
      </c>
      <c r="B26" t="s">
        <v>134</v>
      </c>
      <c r="C26" t="s">
        <v>109</v>
      </c>
      <c r="D26" t="s">
        <v>135</v>
      </c>
      <c r="E26" s="1" t="s">
        <v>136</v>
      </c>
      <c r="F26" s="5" t="str">
        <f t="shared" si="0"/>
        <v>0049</v>
      </c>
      <c r="G26" t="str">
        <f t="shared" si="1"/>
        <v>7896541232</v>
      </c>
      <c r="H26" t="str">
        <f t="shared" si="2"/>
        <v>56</v>
      </c>
      <c r="I26" s="7" t="str">
        <f t="shared" si="3"/>
        <v>1234</v>
      </c>
      <c r="J26" t="s">
        <v>137</v>
      </c>
      <c r="K26" t="s">
        <v>138</v>
      </c>
      <c r="L26" s="7" t="str">
        <f t="shared" si="4"/>
        <v>46396414</v>
      </c>
      <c r="M26" s="7" t="str">
        <f t="shared" si="5"/>
        <v>A</v>
      </c>
      <c r="N26" s="7" t="str">
        <f t="shared" si="6"/>
        <v>A</v>
      </c>
      <c r="O26" s="7" t="str">
        <f t="shared" si="7"/>
        <v>46396414-A</v>
      </c>
    </row>
    <row r="27" spans="1:15" x14ac:dyDescent="0.25">
      <c r="A27">
        <v>1978</v>
      </c>
      <c r="B27" t="s">
        <v>139</v>
      </c>
      <c r="C27" t="s">
        <v>89</v>
      </c>
      <c r="D27" t="s">
        <v>29</v>
      </c>
      <c r="E27" s="1" t="s">
        <v>140</v>
      </c>
      <c r="F27" s="5" t="str">
        <f t="shared" si="0"/>
        <v>0125</v>
      </c>
      <c r="G27" t="str">
        <f t="shared" si="1"/>
        <v>1296036592</v>
      </c>
      <c r="H27" t="str">
        <f t="shared" si="2"/>
        <v>74</v>
      </c>
      <c r="I27" s="7" t="str">
        <f t="shared" si="3"/>
        <v>5896</v>
      </c>
      <c r="J27" t="s">
        <v>141</v>
      </c>
      <c r="K27" t="s">
        <v>142</v>
      </c>
      <c r="L27" s="7" t="str">
        <f t="shared" si="4"/>
        <v>25802293</v>
      </c>
      <c r="M27" s="7" t="str">
        <f t="shared" si="5"/>
        <v>R</v>
      </c>
      <c r="N27" s="7" t="str">
        <f t="shared" si="6"/>
        <v>R</v>
      </c>
      <c r="O27" s="7" t="str">
        <f t="shared" si="7"/>
        <v>25802293-R</v>
      </c>
    </row>
    <row r="28" spans="1:15" x14ac:dyDescent="0.25">
      <c r="A28">
        <v>1531</v>
      </c>
      <c r="B28" t="s">
        <v>143</v>
      </c>
      <c r="C28" t="s">
        <v>120</v>
      </c>
      <c r="D28" t="s">
        <v>34</v>
      </c>
      <c r="E28" s="1" t="s">
        <v>144</v>
      </c>
      <c r="F28" s="5" t="str">
        <f t="shared" si="0"/>
        <v>0229</v>
      </c>
      <c r="G28" t="str">
        <f t="shared" si="1"/>
        <v>0036987420</v>
      </c>
      <c r="H28" t="str">
        <f t="shared" si="2"/>
        <v>02</v>
      </c>
      <c r="I28" s="7" t="str">
        <f t="shared" si="3"/>
        <v>0012</v>
      </c>
      <c r="J28" t="s">
        <v>145</v>
      </c>
      <c r="K28" t="s">
        <v>146</v>
      </c>
      <c r="L28" s="7" t="str">
        <f t="shared" si="4"/>
        <v>31468784</v>
      </c>
      <c r="M28" s="7" t="str">
        <f t="shared" si="5"/>
        <v>T</v>
      </c>
      <c r="N28" s="7" t="str">
        <f t="shared" si="6"/>
        <v>T</v>
      </c>
      <c r="O28" s="7" t="str">
        <f t="shared" si="7"/>
        <v>31468784-T</v>
      </c>
    </row>
    <row r="29" spans="1:15" x14ac:dyDescent="0.25">
      <c r="A29">
        <v>1931</v>
      </c>
      <c r="B29" t="s">
        <v>147</v>
      </c>
      <c r="C29" t="s">
        <v>125</v>
      </c>
      <c r="D29" t="s">
        <v>39</v>
      </c>
      <c r="E29" s="1" t="s">
        <v>90</v>
      </c>
      <c r="F29" s="5" t="str">
        <f t="shared" si="0"/>
        <v>0038</v>
      </c>
      <c r="G29" t="str">
        <f t="shared" si="1"/>
        <v>7896541232</v>
      </c>
      <c r="H29" t="str">
        <f t="shared" si="2"/>
        <v>56</v>
      </c>
      <c r="I29" s="7" t="str">
        <f t="shared" si="3"/>
        <v>1234</v>
      </c>
      <c r="J29" t="s">
        <v>148</v>
      </c>
      <c r="K29" t="s">
        <v>149</v>
      </c>
      <c r="L29" s="7" t="str">
        <f t="shared" si="4"/>
        <v>02998742</v>
      </c>
      <c r="M29" s="7" t="str">
        <f t="shared" si="5"/>
        <v>U</v>
      </c>
      <c r="N29" s="7" t="str">
        <f t="shared" si="6"/>
        <v>U</v>
      </c>
      <c r="O29" s="7" t="str">
        <f t="shared" si="7"/>
        <v>02998742-U</v>
      </c>
    </row>
    <row r="30" spans="1:15" x14ac:dyDescent="0.25">
      <c r="A30">
        <v>1932</v>
      </c>
      <c r="B30" t="s">
        <v>150</v>
      </c>
      <c r="C30" t="s">
        <v>130</v>
      </c>
      <c r="D30" t="s">
        <v>44</v>
      </c>
      <c r="E30" s="1" t="s">
        <v>151</v>
      </c>
      <c r="F30" s="5" t="str">
        <f t="shared" si="0"/>
        <v>0099</v>
      </c>
      <c r="G30" t="str">
        <f t="shared" si="1"/>
        <v>1296036593</v>
      </c>
      <c r="H30" t="str">
        <f t="shared" si="2"/>
        <v>74</v>
      </c>
      <c r="I30" s="7" t="str">
        <f t="shared" si="3"/>
        <v>5896</v>
      </c>
      <c r="J30" t="s">
        <v>152</v>
      </c>
      <c r="K30" t="s">
        <v>153</v>
      </c>
      <c r="L30" s="7" t="str">
        <f t="shared" si="4"/>
        <v>78008605</v>
      </c>
      <c r="M30" s="7" t="str">
        <f t="shared" si="5"/>
        <v>J</v>
      </c>
      <c r="N30" s="7" t="str">
        <f t="shared" si="6"/>
        <v>J</v>
      </c>
      <c r="O30" s="7" t="str">
        <f t="shared" si="7"/>
        <v>78008605-J</v>
      </c>
    </row>
    <row r="31" spans="1:15" x14ac:dyDescent="0.25">
      <c r="A31">
        <v>1291</v>
      </c>
      <c r="B31" t="s">
        <v>154</v>
      </c>
      <c r="C31" t="s">
        <v>135</v>
      </c>
      <c r="D31" t="s">
        <v>49</v>
      </c>
      <c r="E31" s="1" t="s">
        <v>155</v>
      </c>
      <c r="F31" s="5" t="str">
        <f t="shared" si="0"/>
        <v>0138</v>
      </c>
      <c r="G31" t="str">
        <f t="shared" si="1"/>
        <v>0036987421</v>
      </c>
      <c r="H31" t="str">
        <f t="shared" si="2"/>
        <v>02</v>
      </c>
      <c r="I31" s="7" t="str">
        <f t="shared" si="3"/>
        <v>0012</v>
      </c>
      <c r="J31" t="s">
        <v>156</v>
      </c>
      <c r="K31" t="s">
        <v>157</v>
      </c>
      <c r="L31" s="7" t="str">
        <f t="shared" si="4"/>
        <v>11073199</v>
      </c>
      <c r="M31" s="7" t="str">
        <f t="shared" si="5"/>
        <v>N</v>
      </c>
      <c r="N31" s="7" t="str">
        <f t="shared" si="6"/>
        <v>N</v>
      </c>
      <c r="O31" s="7" t="str">
        <f t="shared" si="7"/>
        <v>11073199-N</v>
      </c>
    </row>
    <row r="32" spans="1:15" x14ac:dyDescent="0.25">
      <c r="A32">
        <v>1530</v>
      </c>
      <c r="B32" t="s">
        <v>158</v>
      </c>
      <c r="C32" t="s">
        <v>159</v>
      </c>
      <c r="D32" t="s">
        <v>54</v>
      </c>
      <c r="E32" s="1" t="s">
        <v>160</v>
      </c>
      <c r="F32" s="5" t="str">
        <f t="shared" si="0"/>
        <v>0121</v>
      </c>
      <c r="G32" t="str">
        <f t="shared" si="1"/>
        <v>7896541232</v>
      </c>
      <c r="H32" t="str">
        <f t="shared" si="2"/>
        <v>56</v>
      </c>
      <c r="I32" s="7" t="str">
        <f t="shared" si="3"/>
        <v>1234</v>
      </c>
      <c r="J32" t="s">
        <v>161</v>
      </c>
      <c r="K32" t="s">
        <v>162</v>
      </c>
      <c r="L32" s="7" t="str">
        <f t="shared" si="4"/>
        <v>80034441</v>
      </c>
      <c r="M32" s="7" t="str">
        <f t="shared" si="5"/>
        <v>R</v>
      </c>
      <c r="N32" s="7" t="str">
        <f t="shared" si="6"/>
        <v>R</v>
      </c>
      <c r="O32" s="7" t="str">
        <f t="shared" si="7"/>
        <v>80034441-R</v>
      </c>
    </row>
    <row r="33" spans="1:15" x14ac:dyDescent="0.25">
      <c r="A33">
        <v>1152</v>
      </c>
      <c r="B33" t="s">
        <v>163</v>
      </c>
      <c r="C33" t="s">
        <v>164</v>
      </c>
      <c r="D33" t="s">
        <v>77</v>
      </c>
      <c r="E33" s="1" t="s">
        <v>165</v>
      </c>
      <c r="F33" s="5" t="str">
        <f t="shared" si="0"/>
        <v>0235</v>
      </c>
      <c r="G33" t="str">
        <f t="shared" si="1"/>
        <v>1296036594</v>
      </c>
      <c r="H33" t="str">
        <f t="shared" si="2"/>
        <v>74</v>
      </c>
      <c r="I33" s="7" t="str">
        <f t="shared" si="3"/>
        <v>5896</v>
      </c>
      <c r="J33" t="s">
        <v>166</v>
      </c>
      <c r="K33" t="s">
        <v>167</v>
      </c>
      <c r="L33" s="7" t="str">
        <f t="shared" si="4"/>
        <v>40013159</v>
      </c>
      <c r="M33" s="7" t="str">
        <f t="shared" si="5"/>
        <v>W</v>
      </c>
      <c r="N33" s="7" t="str">
        <f t="shared" si="6"/>
        <v>W</v>
      </c>
      <c r="O33" s="7" t="str">
        <f t="shared" si="7"/>
        <v>40013159-W</v>
      </c>
    </row>
    <row r="34" spans="1:15" x14ac:dyDescent="0.25">
      <c r="A34">
        <v>1079</v>
      </c>
      <c r="B34" t="s">
        <v>168</v>
      </c>
      <c r="C34" t="s">
        <v>169</v>
      </c>
      <c r="D34" t="s">
        <v>83</v>
      </c>
      <c r="E34" s="1" t="s">
        <v>170</v>
      </c>
      <c r="F34" s="5" t="str">
        <f t="shared" si="0"/>
        <v>0075</v>
      </c>
      <c r="G34" t="str">
        <f t="shared" si="1"/>
        <v>0036987422</v>
      </c>
      <c r="H34" t="str">
        <f t="shared" si="2"/>
        <v>02</v>
      </c>
      <c r="I34" s="7" t="str">
        <f t="shared" si="3"/>
        <v>0012</v>
      </c>
      <c r="J34" t="s">
        <v>171</v>
      </c>
      <c r="K34" t="s">
        <v>172</v>
      </c>
      <c r="L34" s="7" t="str">
        <f t="shared" si="4"/>
        <v>52138799</v>
      </c>
      <c r="M34" s="7" t="str">
        <f t="shared" si="5"/>
        <v>E</v>
      </c>
      <c r="N34" s="7" t="str">
        <f t="shared" si="6"/>
        <v>E</v>
      </c>
      <c r="O34" s="7" t="str">
        <f t="shared" si="7"/>
        <v>52138799-E</v>
      </c>
    </row>
    <row r="35" spans="1:15" x14ac:dyDescent="0.25">
      <c r="A35">
        <v>1676</v>
      </c>
      <c r="B35" t="s">
        <v>173</v>
      </c>
      <c r="C35" t="s">
        <v>18</v>
      </c>
      <c r="D35" t="s">
        <v>89</v>
      </c>
      <c r="E35" s="1" t="s">
        <v>174</v>
      </c>
      <c r="F35" s="5" t="str">
        <f t="shared" si="0"/>
        <v>0238</v>
      </c>
      <c r="G35" t="str">
        <f t="shared" si="1"/>
        <v>7896541232</v>
      </c>
      <c r="H35" t="str">
        <f t="shared" si="2"/>
        <v>56</v>
      </c>
      <c r="I35" s="7" t="str">
        <f t="shared" si="3"/>
        <v>1234</v>
      </c>
      <c r="J35" t="s">
        <v>175</v>
      </c>
      <c r="K35" t="s">
        <v>176</v>
      </c>
      <c r="L35" s="7" t="str">
        <f t="shared" si="4"/>
        <v>64469261</v>
      </c>
      <c r="M35" s="7" t="str">
        <f t="shared" si="5"/>
        <v>Q</v>
      </c>
      <c r="N35" s="7" t="str">
        <f t="shared" si="6"/>
        <v>Q</v>
      </c>
      <c r="O35" s="7" t="str">
        <f t="shared" si="7"/>
        <v>64469261-Q</v>
      </c>
    </row>
    <row r="36" spans="1:15" x14ac:dyDescent="0.25">
      <c r="A36">
        <v>1290</v>
      </c>
      <c r="B36" t="s">
        <v>177</v>
      </c>
      <c r="C36" t="s">
        <v>178</v>
      </c>
      <c r="D36" t="s">
        <v>77</v>
      </c>
      <c r="E36" s="1" t="s">
        <v>179</v>
      </c>
      <c r="F36" s="5" t="str">
        <f t="shared" si="0"/>
        <v>0049</v>
      </c>
      <c r="G36" t="str">
        <f t="shared" si="1"/>
        <v>1296036595</v>
      </c>
      <c r="H36" t="str">
        <f t="shared" si="2"/>
        <v>74</v>
      </c>
      <c r="I36" s="7" t="str">
        <f t="shared" si="3"/>
        <v>5896</v>
      </c>
      <c r="J36" t="s">
        <v>180</v>
      </c>
      <c r="K36" t="s">
        <v>181</v>
      </c>
      <c r="L36" s="7" t="str">
        <f t="shared" si="4"/>
        <v>03155533</v>
      </c>
      <c r="M36" s="7" t="str">
        <f t="shared" si="5"/>
        <v>P</v>
      </c>
      <c r="N36" s="7" t="str">
        <f t="shared" si="6"/>
        <v>P</v>
      </c>
      <c r="O36" s="7" t="str">
        <f t="shared" si="7"/>
        <v>03155533-P</v>
      </c>
    </row>
    <row r="37" spans="1:15" x14ac:dyDescent="0.25">
      <c r="A37">
        <v>1961</v>
      </c>
      <c r="B37" t="s">
        <v>182</v>
      </c>
      <c r="C37" t="s">
        <v>183</v>
      </c>
      <c r="D37" t="s">
        <v>98</v>
      </c>
      <c r="E37" s="1" t="s">
        <v>184</v>
      </c>
      <c r="F37" s="5" t="str">
        <f t="shared" si="0"/>
        <v>0125</v>
      </c>
      <c r="G37" t="str">
        <f t="shared" si="1"/>
        <v>0036987423</v>
      </c>
      <c r="H37" t="str">
        <f t="shared" si="2"/>
        <v>02</v>
      </c>
      <c r="I37" s="7" t="str">
        <f t="shared" si="3"/>
        <v>0012</v>
      </c>
      <c r="J37" t="s">
        <v>185</v>
      </c>
      <c r="K37" t="s">
        <v>186</v>
      </c>
      <c r="L37" s="7" t="str">
        <f t="shared" si="4"/>
        <v>39194981</v>
      </c>
      <c r="M37" s="7" t="str">
        <f t="shared" si="5"/>
        <v>L</v>
      </c>
      <c r="N37" s="7" t="str">
        <f t="shared" si="6"/>
        <v>L</v>
      </c>
      <c r="O37" s="7" t="str">
        <f t="shared" si="7"/>
        <v>39194981-L</v>
      </c>
    </row>
    <row r="38" spans="1:15" x14ac:dyDescent="0.25">
      <c r="A38">
        <v>1675</v>
      </c>
      <c r="B38" t="s">
        <v>187</v>
      </c>
      <c r="C38" t="s">
        <v>188</v>
      </c>
      <c r="D38" t="s">
        <v>103</v>
      </c>
      <c r="E38" s="1" t="s">
        <v>189</v>
      </c>
      <c r="F38" s="5" t="str">
        <f t="shared" si="0"/>
        <v>0229</v>
      </c>
      <c r="G38" t="str">
        <f t="shared" si="1"/>
        <v>7896541232</v>
      </c>
      <c r="H38" t="str">
        <f t="shared" si="2"/>
        <v>56</v>
      </c>
      <c r="I38" s="7" t="str">
        <f t="shared" si="3"/>
        <v>1234</v>
      </c>
      <c r="J38" t="s">
        <v>190</v>
      </c>
      <c r="K38" t="s">
        <v>191</v>
      </c>
      <c r="L38" s="7" t="str">
        <f t="shared" si="4"/>
        <v>01661407</v>
      </c>
      <c r="M38" s="7" t="str">
        <f t="shared" si="5"/>
        <v>H</v>
      </c>
      <c r="N38" s="7" t="str">
        <f t="shared" si="6"/>
        <v>H</v>
      </c>
      <c r="O38" s="7" t="str">
        <f t="shared" si="7"/>
        <v>01661407-H</v>
      </c>
    </row>
    <row r="39" spans="1:15" x14ac:dyDescent="0.25">
      <c r="A39">
        <v>1368</v>
      </c>
      <c r="B39" t="s">
        <v>192</v>
      </c>
      <c r="C39" t="s">
        <v>193</v>
      </c>
      <c r="D39" t="s">
        <v>109</v>
      </c>
      <c r="E39" s="1" t="s">
        <v>194</v>
      </c>
      <c r="F39" s="5" t="str">
        <f t="shared" si="0"/>
        <v>0038</v>
      </c>
      <c r="G39" t="str">
        <f t="shared" si="1"/>
        <v>1296036596</v>
      </c>
      <c r="H39" t="str">
        <f t="shared" si="2"/>
        <v>74</v>
      </c>
      <c r="I39" s="7" t="str">
        <f t="shared" si="3"/>
        <v>5896</v>
      </c>
      <c r="J39" t="s">
        <v>195</v>
      </c>
      <c r="K39" t="s">
        <v>196</v>
      </c>
      <c r="L39" s="7" t="str">
        <f t="shared" si="4"/>
        <v>19537587</v>
      </c>
      <c r="M39" s="7" t="str">
        <f t="shared" si="5"/>
        <v>F</v>
      </c>
      <c r="N39" s="7" t="str">
        <f t="shared" si="6"/>
        <v>F</v>
      </c>
      <c r="O39" s="7" t="str">
        <f t="shared" si="7"/>
        <v>19537587-F</v>
      </c>
    </row>
    <row r="40" spans="1:15" x14ac:dyDescent="0.25">
      <c r="A40">
        <v>1153</v>
      </c>
      <c r="B40" t="s">
        <v>197</v>
      </c>
      <c r="C40" t="s">
        <v>12</v>
      </c>
      <c r="D40" t="s">
        <v>89</v>
      </c>
      <c r="E40" s="1" t="s">
        <v>198</v>
      </c>
      <c r="F40" s="5" t="str">
        <f t="shared" si="0"/>
        <v>0099</v>
      </c>
      <c r="G40" t="str">
        <f t="shared" si="1"/>
        <v>0036987424</v>
      </c>
      <c r="H40" t="str">
        <f t="shared" si="2"/>
        <v>02</v>
      </c>
      <c r="I40" s="7" t="str">
        <f t="shared" si="3"/>
        <v>0012</v>
      </c>
      <c r="J40" t="s">
        <v>199</v>
      </c>
      <c r="K40" t="s">
        <v>200</v>
      </c>
      <c r="L40" s="7" t="str">
        <f t="shared" si="4"/>
        <v>74798213</v>
      </c>
      <c r="M40" s="7" t="str">
        <f t="shared" si="5"/>
        <v>D</v>
      </c>
      <c r="N40" s="7" t="str">
        <f t="shared" si="6"/>
        <v>D</v>
      </c>
      <c r="O40" s="7" t="str">
        <f t="shared" si="7"/>
        <v>74798213-D</v>
      </c>
    </row>
    <row r="41" spans="1:15" x14ac:dyDescent="0.25">
      <c r="A41">
        <v>1960</v>
      </c>
      <c r="B41" t="s">
        <v>201</v>
      </c>
      <c r="C41" t="s">
        <v>202</v>
      </c>
      <c r="D41" t="s">
        <v>120</v>
      </c>
      <c r="E41" s="1" t="s">
        <v>203</v>
      </c>
      <c r="F41" s="5" t="str">
        <f t="shared" si="0"/>
        <v>2108</v>
      </c>
      <c r="G41" t="str">
        <f t="shared" si="1"/>
        <v>7896541232</v>
      </c>
      <c r="H41" t="str">
        <f t="shared" si="2"/>
        <v>56</v>
      </c>
      <c r="I41" s="7" t="str">
        <f t="shared" si="3"/>
        <v>1234</v>
      </c>
      <c r="J41" t="s">
        <v>204</v>
      </c>
      <c r="K41" t="s">
        <v>205</v>
      </c>
      <c r="L41" s="7" t="str">
        <f t="shared" si="4"/>
        <v>34169324</v>
      </c>
      <c r="M41" s="7" t="str">
        <f t="shared" si="5"/>
        <v>C</v>
      </c>
      <c r="N41" s="7" t="str">
        <f t="shared" si="6"/>
        <v>C</v>
      </c>
      <c r="O41" s="7" t="str">
        <f t="shared" si="7"/>
        <v>34169324-C</v>
      </c>
    </row>
    <row r="42" spans="1:15" x14ac:dyDescent="0.25">
      <c r="A42">
        <v>1908</v>
      </c>
      <c r="B42" t="s">
        <v>206</v>
      </c>
      <c r="C42" t="s">
        <v>207</v>
      </c>
      <c r="D42" t="s">
        <v>125</v>
      </c>
      <c r="E42" s="1" t="s">
        <v>208</v>
      </c>
      <c r="F42" s="5" t="str">
        <f t="shared" si="0"/>
        <v>0115</v>
      </c>
      <c r="G42" t="str">
        <f t="shared" si="1"/>
        <v>1296036597</v>
      </c>
      <c r="H42" t="str">
        <f t="shared" si="2"/>
        <v>74</v>
      </c>
      <c r="I42" s="7" t="str">
        <f t="shared" si="3"/>
        <v>5896</v>
      </c>
      <c r="J42" t="s">
        <v>209</v>
      </c>
      <c r="K42" t="s">
        <v>210</v>
      </c>
      <c r="L42" s="7" t="str">
        <f t="shared" si="4"/>
        <v>26970858</v>
      </c>
      <c r="M42" s="7" t="str">
        <f t="shared" si="5"/>
        <v>V</v>
      </c>
      <c r="N42" s="7" t="str">
        <f t="shared" si="6"/>
        <v>V</v>
      </c>
      <c r="O42" s="7" t="str">
        <f t="shared" si="7"/>
        <v>26970858-V</v>
      </c>
    </row>
    <row r="43" spans="1:15" x14ac:dyDescent="0.25">
      <c r="A43">
        <v>1011</v>
      </c>
      <c r="B43" t="s">
        <v>211</v>
      </c>
      <c r="C43" t="s">
        <v>212</v>
      </c>
      <c r="D43" t="s">
        <v>130</v>
      </c>
      <c r="E43" s="1" t="s">
        <v>213</v>
      </c>
      <c r="F43" s="5" t="str">
        <f t="shared" si="0"/>
        <v>0003</v>
      </c>
      <c r="G43" t="str">
        <f t="shared" si="1"/>
        <v>0036987425</v>
      </c>
      <c r="H43" t="str">
        <f t="shared" si="2"/>
        <v>02</v>
      </c>
      <c r="I43" s="7" t="str">
        <f t="shared" si="3"/>
        <v>0012</v>
      </c>
      <c r="J43" t="s">
        <v>214</v>
      </c>
      <c r="K43" t="s">
        <v>215</v>
      </c>
      <c r="L43" s="7" t="str">
        <f t="shared" si="4"/>
        <v>02734054</v>
      </c>
      <c r="M43" s="7" t="str">
        <f t="shared" si="5"/>
        <v>B</v>
      </c>
      <c r="N43" s="7" t="str">
        <f t="shared" si="6"/>
        <v>B</v>
      </c>
      <c r="O43" s="7" t="str">
        <f t="shared" si="7"/>
        <v>02734054-B</v>
      </c>
    </row>
    <row r="44" spans="1:15" x14ac:dyDescent="0.25">
      <c r="A44">
        <v>1359</v>
      </c>
      <c r="B44" t="s">
        <v>216</v>
      </c>
      <c r="C44" t="s">
        <v>217</v>
      </c>
      <c r="D44" t="s">
        <v>135</v>
      </c>
      <c r="E44" s="1" t="s">
        <v>218</v>
      </c>
      <c r="F44" s="5" t="str">
        <f t="shared" si="0"/>
        <v>0059</v>
      </c>
      <c r="G44" t="str">
        <f t="shared" si="1"/>
        <v>7896541232</v>
      </c>
      <c r="H44" t="str">
        <f t="shared" si="2"/>
        <v>56</v>
      </c>
      <c r="I44" s="7" t="str">
        <f t="shared" si="3"/>
        <v>1234</v>
      </c>
      <c r="J44" t="s">
        <v>219</v>
      </c>
      <c r="K44" t="s">
        <v>220</v>
      </c>
      <c r="L44" s="7" t="str">
        <f t="shared" si="4"/>
        <v>45880808</v>
      </c>
      <c r="M44" s="7" t="str">
        <f t="shared" si="5"/>
        <v>C</v>
      </c>
      <c r="N44" s="7" t="str">
        <f t="shared" si="6"/>
        <v>C</v>
      </c>
      <c r="O44" s="7" t="str">
        <f t="shared" si="7"/>
        <v>45880808-C</v>
      </c>
    </row>
    <row r="45" spans="1:15" x14ac:dyDescent="0.25">
      <c r="A45">
        <v>1724</v>
      </c>
      <c r="B45" t="s">
        <v>221</v>
      </c>
      <c r="C45" t="s">
        <v>222</v>
      </c>
      <c r="D45" t="s">
        <v>29</v>
      </c>
      <c r="E45" s="1" t="s">
        <v>223</v>
      </c>
      <c r="F45" s="5" t="str">
        <f t="shared" si="0"/>
        <v>0086</v>
      </c>
      <c r="G45" t="str">
        <f t="shared" si="1"/>
        <v>1296036598</v>
      </c>
      <c r="H45" t="str">
        <f t="shared" si="2"/>
        <v>74</v>
      </c>
      <c r="I45" s="7" t="str">
        <f t="shared" si="3"/>
        <v>5896</v>
      </c>
      <c r="J45" t="s">
        <v>224</v>
      </c>
      <c r="K45" t="s">
        <v>225</v>
      </c>
      <c r="L45" s="7" t="str">
        <f t="shared" si="4"/>
        <v>69622703</v>
      </c>
      <c r="M45" s="7" t="str">
        <f t="shared" si="5"/>
        <v>G</v>
      </c>
      <c r="N45" s="7" t="str">
        <f t="shared" si="6"/>
        <v>G</v>
      </c>
      <c r="O45" s="7" t="str">
        <f t="shared" si="7"/>
        <v>69622703-G</v>
      </c>
    </row>
    <row r="46" spans="1:15" x14ac:dyDescent="0.25">
      <c r="A46">
        <v>1923</v>
      </c>
      <c r="B46" t="s">
        <v>226</v>
      </c>
      <c r="C46" t="s">
        <v>227</v>
      </c>
      <c r="D46" t="s">
        <v>34</v>
      </c>
      <c r="E46" s="1" t="s">
        <v>228</v>
      </c>
      <c r="F46" s="5" t="str">
        <f t="shared" si="0"/>
        <v>0182</v>
      </c>
      <c r="G46" t="str">
        <f t="shared" si="1"/>
        <v>0036987426</v>
      </c>
      <c r="H46" t="str">
        <f t="shared" si="2"/>
        <v>02</v>
      </c>
      <c r="I46" s="7" t="str">
        <f t="shared" si="3"/>
        <v>0012</v>
      </c>
      <c r="J46" t="s">
        <v>229</v>
      </c>
      <c r="K46" t="s">
        <v>230</v>
      </c>
      <c r="L46" s="7" t="str">
        <f t="shared" si="4"/>
        <v>04890366</v>
      </c>
      <c r="M46" s="7" t="str">
        <f t="shared" si="5"/>
        <v>T</v>
      </c>
      <c r="N46" s="7" t="str">
        <f t="shared" si="6"/>
        <v>T</v>
      </c>
      <c r="O46" s="7" t="str">
        <f t="shared" si="7"/>
        <v>04890366-T</v>
      </c>
    </row>
    <row r="47" spans="1:15" x14ac:dyDescent="0.25">
      <c r="A47">
        <v>1794</v>
      </c>
      <c r="B47" t="s">
        <v>231</v>
      </c>
      <c r="C47" t="s">
        <v>232</v>
      </c>
      <c r="D47" t="s">
        <v>89</v>
      </c>
      <c r="E47" s="1" t="s">
        <v>233</v>
      </c>
      <c r="F47" s="5" t="str">
        <f t="shared" si="0"/>
        <v>0057</v>
      </c>
      <c r="G47" t="str">
        <f t="shared" si="1"/>
        <v>7896541232</v>
      </c>
      <c r="H47" t="str">
        <f t="shared" si="2"/>
        <v>56</v>
      </c>
      <c r="I47" s="7" t="str">
        <f t="shared" si="3"/>
        <v>1234</v>
      </c>
      <c r="J47" t="s">
        <v>234</v>
      </c>
      <c r="K47" t="s">
        <v>235</v>
      </c>
      <c r="L47" s="7" t="str">
        <f t="shared" si="4"/>
        <v>46619961</v>
      </c>
      <c r="M47" s="7" t="str">
        <f t="shared" si="5"/>
        <v>C</v>
      </c>
      <c r="N47" s="7" t="str">
        <f t="shared" si="6"/>
        <v>C</v>
      </c>
      <c r="O47" s="7" t="str">
        <f t="shared" si="7"/>
        <v>46619961-C</v>
      </c>
    </row>
    <row r="48" spans="1:15" x14ac:dyDescent="0.25">
      <c r="A48">
        <v>1558</v>
      </c>
      <c r="B48" t="s">
        <v>236</v>
      </c>
      <c r="C48" t="s">
        <v>237</v>
      </c>
      <c r="D48" t="s">
        <v>120</v>
      </c>
      <c r="E48" s="1" t="s">
        <v>238</v>
      </c>
      <c r="F48" s="5" t="str">
        <f t="shared" si="0"/>
        <v>0030</v>
      </c>
      <c r="G48" t="str">
        <f t="shared" si="1"/>
        <v>1296036599</v>
      </c>
      <c r="H48" t="str">
        <f t="shared" si="2"/>
        <v>74</v>
      </c>
      <c r="I48" s="7" t="str">
        <f t="shared" si="3"/>
        <v>5896</v>
      </c>
      <c r="J48" t="s">
        <v>239</v>
      </c>
      <c r="K48" t="s">
        <v>240</v>
      </c>
      <c r="L48" s="7" t="str">
        <f t="shared" si="4"/>
        <v>27503874</v>
      </c>
      <c r="M48" s="7" t="str">
        <f t="shared" si="5"/>
        <v>A</v>
      </c>
      <c r="N48" s="7" t="str">
        <f t="shared" si="6"/>
        <v>A</v>
      </c>
      <c r="O48" s="7" t="str">
        <f t="shared" si="7"/>
        <v>27503874-A</v>
      </c>
    </row>
    <row r="49" spans="1:15" x14ac:dyDescent="0.25">
      <c r="A49">
        <v>1949</v>
      </c>
      <c r="B49" t="s">
        <v>241</v>
      </c>
      <c r="C49" t="s">
        <v>242</v>
      </c>
      <c r="D49" t="s">
        <v>125</v>
      </c>
      <c r="E49" s="1" t="s">
        <v>243</v>
      </c>
      <c r="F49" s="5" t="str">
        <f t="shared" si="0"/>
        <v>0031</v>
      </c>
      <c r="G49" t="str">
        <f t="shared" si="1"/>
        <v>0036987427</v>
      </c>
      <c r="H49" t="str">
        <f t="shared" si="2"/>
        <v>02</v>
      </c>
      <c r="I49" s="7" t="str">
        <f t="shared" si="3"/>
        <v>0012</v>
      </c>
      <c r="J49" t="s">
        <v>244</v>
      </c>
      <c r="K49" t="s">
        <v>245</v>
      </c>
      <c r="L49" s="7" t="str">
        <f t="shared" si="4"/>
        <v>42023253</v>
      </c>
      <c r="M49" s="7" t="str">
        <f t="shared" si="5"/>
        <v>k</v>
      </c>
      <c r="N49" s="7" t="str">
        <f t="shared" si="6"/>
        <v>K</v>
      </c>
      <c r="O49" s="7" t="str">
        <f t="shared" si="7"/>
        <v>42023253-K</v>
      </c>
    </row>
    <row r="50" spans="1:15" x14ac:dyDescent="0.25">
      <c r="A50">
        <v>1311</v>
      </c>
      <c r="B50" t="s">
        <v>246</v>
      </c>
      <c r="C50" t="s">
        <v>247</v>
      </c>
      <c r="D50" t="s">
        <v>130</v>
      </c>
      <c r="E50" s="1" t="s">
        <v>248</v>
      </c>
      <c r="F50" s="5" t="str">
        <f t="shared" si="0"/>
        <v>0184</v>
      </c>
      <c r="G50" t="str">
        <f t="shared" si="1"/>
        <v>7896541232</v>
      </c>
      <c r="H50" t="str">
        <f t="shared" si="2"/>
        <v>56</v>
      </c>
      <c r="I50" s="7" t="str">
        <f t="shared" si="3"/>
        <v>1234</v>
      </c>
      <c r="J50" t="s">
        <v>249</v>
      </c>
      <c r="K50" t="s">
        <v>250</v>
      </c>
      <c r="L50" s="7" t="str">
        <f t="shared" si="4"/>
        <v>00701814</v>
      </c>
      <c r="M50" s="7" t="str">
        <f t="shared" si="5"/>
        <v>T</v>
      </c>
      <c r="N50" s="7" t="str">
        <f t="shared" si="6"/>
        <v>T</v>
      </c>
      <c r="O50" s="7" t="str">
        <f t="shared" si="7"/>
        <v>00701814-T</v>
      </c>
    </row>
    <row r="51" spans="1:15" x14ac:dyDescent="0.25">
      <c r="A51">
        <v>1906</v>
      </c>
      <c r="B51" t="s">
        <v>251</v>
      </c>
      <c r="C51" t="s">
        <v>252</v>
      </c>
      <c r="D51" t="s">
        <v>18</v>
      </c>
      <c r="E51" s="1" t="s">
        <v>253</v>
      </c>
      <c r="F51" s="5" t="str">
        <f t="shared" si="0"/>
        <v>0488</v>
      </c>
      <c r="G51" t="str">
        <f t="shared" si="1"/>
        <v>1296036600</v>
      </c>
      <c r="H51" t="str">
        <f t="shared" si="2"/>
        <v>74</v>
      </c>
      <c r="I51" s="7" t="str">
        <f t="shared" si="3"/>
        <v>5896</v>
      </c>
      <c r="J51" t="s">
        <v>254</v>
      </c>
      <c r="K51" t="s">
        <v>255</v>
      </c>
      <c r="L51" s="7" t="str">
        <f t="shared" si="4"/>
        <v>25769167</v>
      </c>
      <c r="M51" s="7" t="str">
        <f t="shared" si="5"/>
        <v>U</v>
      </c>
      <c r="N51" s="7" t="str">
        <f t="shared" si="6"/>
        <v>U</v>
      </c>
      <c r="O51" s="7" t="str">
        <f t="shared" si="7"/>
        <v>25769167-U</v>
      </c>
    </row>
    <row r="52" spans="1:15" x14ac:dyDescent="0.25">
      <c r="A52">
        <v>1656</v>
      </c>
      <c r="B52" t="s">
        <v>256</v>
      </c>
      <c r="C52" t="s">
        <v>125</v>
      </c>
      <c r="D52" t="s">
        <v>24</v>
      </c>
      <c r="E52" s="1" t="s">
        <v>257</v>
      </c>
      <c r="F52" s="5" t="str">
        <f t="shared" si="0"/>
        <v>0220</v>
      </c>
      <c r="G52" t="str">
        <f t="shared" si="1"/>
        <v>0036987428</v>
      </c>
      <c r="H52" t="str">
        <f t="shared" si="2"/>
        <v>02</v>
      </c>
      <c r="I52" s="7" t="str">
        <f t="shared" si="3"/>
        <v>0012</v>
      </c>
      <c r="J52" t="s">
        <v>258</v>
      </c>
      <c r="K52" t="s">
        <v>259</v>
      </c>
      <c r="L52" s="7" t="str">
        <f t="shared" si="4"/>
        <v>20444436</v>
      </c>
      <c r="M52" s="7" t="str">
        <f t="shared" si="5"/>
        <v>J</v>
      </c>
      <c r="N52" s="7" t="str">
        <f t="shared" si="6"/>
        <v>J</v>
      </c>
      <c r="O52" s="7" t="str">
        <f t="shared" si="7"/>
        <v>20444436-J</v>
      </c>
    </row>
    <row r="53" spans="1:15" x14ac:dyDescent="0.25">
      <c r="A53">
        <v>1907</v>
      </c>
      <c r="B53" t="s">
        <v>260</v>
      </c>
      <c r="C53" t="s">
        <v>261</v>
      </c>
      <c r="D53" t="s">
        <v>29</v>
      </c>
      <c r="E53" s="1" t="s">
        <v>262</v>
      </c>
      <c r="F53" s="5" t="str">
        <f t="shared" si="0"/>
        <v>0046</v>
      </c>
      <c r="G53" t="str">
        <f t="shared" si="1"/>
        <v>7896541232</v>
      </c>
      <c r="H53" t="str">
        <f t="shared" si="2"/>
        <v>56</v>
      </c>
      <c r="I53" s="7" t="str">
        <f t="shared" si="3"/>
        <v>1234</v>
      </c>
      <c r="J53" t="s">
        <v>263</v>
      </c>
      <c r="K53" t="s">
        <v>264</v>
      </c>
      <c r="L53" s="7" t="str">
        <f t="shared" si="4"/>
        <v>57824426</v>
      </c>
      <c r="M53" s="7" t="str">
        <f t="shared" si="5"/>
        <v>N</v>
      </c>
      <c r="N53" s="7" t="str">
        <f t="shared" si="6"/>
        <v>N</v>
      </c>
      <c r="O53" s="7" t="str">
        <f t="shared" si="7"/>
        <v>57824426-N</v>
      </c>
    </row>
    <row r="54" spans="1:15" x14ac:dyDescent="0.25">
      <c r="A54">
        <v>1724</v>
      </c>
      <c r="B54" t="s">
        <v>265</v>
      </c>
      <c r="C54" t="s">
        <v>266</v>
      </c>
      <c r="D54" t="s">
        <v>34</v>
      </c>
      <c r="E54" s="1" t="s">
        <v>267</v>
      </c>
      <c r="F54" s="5" t="str">
        <f t="shared" si="0"/>
        <v>2086</v>
      </c>
      <c r="G54" t="str">
        <f t="shared" si="1"/>
        <v>1296036601</v>
      </c>
      <c r="H54" t="str">
        <f t="shared" si="2"/>
        <v>74</v>
      </c>
      <c r="I54" s="7" t="str">
        <f t="shared" si="3"/>
        <v>5896</v>
      </c>
      <c r="J54" t="s">
        <v>268</v>
      </c>
      <c r="K54" t="s">
        <v>269</v>
      </c>
      <c r="L54" s="7" t="str">
        <f t="shared" si="4"/>
        <v>79406624</v>
      </c>
      <c r="M54" s="7" t="str">
        <f t="shared" si="5"/>
        <v>R</v>
      </c>
      <c r="N54" s="7" t="str">
        <f t="shared" si="6"/>
        <v>R</v>
      </c>
      <c r="O54" s="7" t="str">
        <f t="shared" si="7"/>
        <v>79406624-R</v>
      </c>
    </row>
    <row r="55" spans="1:15" x14ac:dyDescent="0.25">
      <c r="A55">
        <v>1301</v>
      </c>
      <c r="B55" t="s">
        <v>270</v>
      </c>
      <c r="C55" t="s">
        <v>271</v>
      </c>
      <c r="D55" t="s">
        <v>39</v>
      </c>
      <c r="E55" s="1" t="s">
        <v>272</v>
      </c>
      <c r="F55" s="5" t="str">
        <f t="shared" si="0"/>
        <v>0038</v>
      </c>
      <c r="G55" t="str">
        <f t="shared" si="1"/>
        <v>0036987429</v>
      </c>
      <c r="H55" t="str">
        <f t="shared" si="2"/>
        <v>02</v>
      </c>
      <c r="I55" s="7" t="str">
        <f t="shared" si="3"/>
        <v>0012</v>
      </c>
      <c r="J55" t="s">
        <v>273</v>
      </c>
      <c r="K55" t="s">
        <v>274</v>
      </c>
      <c r="L55" s="7" t="str">
        <f t="shared" si="4"/>
        <v>24932572</v>
      </c>
      <c r="M55" s="7" t="str">
        <f t="shared" si="5"/>
        <v>W</v>
      </c>
      <c r="N55" s="7" t="str">
        <f t="shared" si="6"/>
        <v>W</v>
      </c>
      <c r="O55" s="7" t="str">
        <f t="shared" si="7"/>
        <v>24932572-W</v>
      </c>
    </row>
    <row r="56" spans="1:15" x14ac:dyDescent="0.25">
      <c r="A56">
        <v>1292</v>
      </c>
      <c r="B56" t="s">
        <v>275</v>
      </c>
      <c r="C56" t="s">
        <v>276</v>
      </c>
      <c r="D56" t="s">
        <v>44</v>
      </c>
      <c r="E56" s="1" t="s">
        <v>277</v>
      </c>
      <c r="F56" s="5" t="str">
        <f t="shared" si="0"/>
        <v>0099</v>
      </c>
      <c r="G56" t="str">
        <f t="shared" si="1"/>
        <v>7896541232</v>
      </c>
      <c r="H56" t="str">
        <f t="shared" si="2"/>
        <v>56</v>
      </c>
      <c r="I56" s="7" t="str">
        <f t="shared" si="3"/>
        <v>1234</v>
      </c>
      <c r="J56" t="s">
        <v>278</v>
      </c>
      <c r="K56" t="s">
        <v>279</v>
      </c>
      <c r="L56" s="7" t="str">
        <f t="shared" si="4"/>
        <v>68613216</v>
      </c>
      <c r="M56" s="7" t="str">
        <f t="shared" si="5"/>
        <v>E</v>
      </c>
      <c r="N56" s="7" t="str">
        <f t="shared" si="6"/>
        <v>E</v>
      </c>
      <c r="O56" s="7" t="str">
        <f t="shared" si="7"/>
        <v>68613216-E</v>
      </c>
    </row>
    <row r="57" spans="1:15" x14ac:dyDescent="0.25">
      <c r="A57">
        <v>1167</v>
      </c>
      <c r="B57" t="s">
        <v>280</v>
      </c>
      <c r="C57" t="s">
        <v>125</v>
      </c>
      <c r="D57" t="s">
        <v>49</v>
      </c>
      <c r="E57" s="1" t="s">
        <v>281</v>
      </c>
      <c r="F57" s="5" t="str">
        <f t="shared" si="0"/>
        <v>2038</v>
      </c>
      <c r="G57" t="str">
        <f t="shared" si="1"/>
        <v>1296036602</v>
      </c>
      <c r="H57" t="str">
        <f t="shared" si="2"/>
        <v>74</v>
      </c>
      <c r="I57" s="7" t="str">
        <f t="shared" si="3"/>
        <v>5896</v>
      </c>
      <c r="J57" t="s">
        <v>282</v>
      </c>
      <c r="K57" t="s">
        <v>283</v>
      </c>
      <c r="L57" s="7" t="str">
        <f t="shared" si="4"/>
        <v>07089191</v>
      </c>
      <c r="M57" s="7" t="str">
        <f t="shared" si="5"/>
        <v>Q</v>
      </c>
      <c r="N57" s="7" t="str">
        <f t="shared" si="6"/>
        <v>Q</v>
      </c>
      <c r="O57" s="7" t="str">
        <f t="shared" si="7"/>
        <v>07089191-Q</v>
      </c>
    </row>
    <row r="58" spans="1:15" x14ac:dyDescent="0.25">
      <c r="A58">
        <v>1950</v>
      </c>
      <c r="B58" t="s">
        <v>284</v>
      </c>
      <c r="C58" t="s">
        <v>285</v>
      </c>
      <c r="D58" t="s">
        <v>54</v>
      </c>
      <c r="E58" s="1" t="s">
        <v>286</v>
      </c>
      <c r="F58" s="5" t="str">
        <f t="shared" si="0"/>
        <v>0128</v>
      </c>
      <c r="G58" t="str">
        <f t="shared" si="1"/>
        <v>0036987430</v>
      </c>
      <c r="H58" t="str">
        <f t="shared" si="2"/>
        <v>02</v>
      </c>
      <c r="I58" s="7" t="str">
        <f t="shared" si="3"/>
        <v>0012</v>
      </c>
      <c r="J58" t="s">
        <v>287</v>
      </c>
      <c r="K58" t="s">
        <v>288</v>
      </c>
      <c r="L58" s="7" t="str">
        <f t="shared" si="4"/>
        <v>42093844</v>
      </c>
      <c r="M58" s="7" t="str">
        <f t="shared" si="5"/>
        <v>P</v>
      </c>
      <c r="N58" s="7" t="str">
        <f t="shared" si="6"/>
        <v>P</v>
      </c>
      <c r="O58" s="7" t="str">
        <f t="shared" si="7"/>
        <v>42093844-P</v>
      </c>
    </row>
    <row r="59" spans="1:15" x14ac:dyDescent="0.25">
      <c r="A59">
        <v>1792</v>
      </c>
      <c r="B59" t="s">
        <v>289</v>
      </c>
      <c r="C59" t="s">
        <v>290</v>
      </c>
      <c r="D59" t="s">
        <v>44</v>
      </c>
      <c r="E59" s="1" t="s">
        <v>291</v>
      </c>
      <c r="F59" s="5" t="str">
        <f t="shared" si="0"/>
        <v>0138</v>
      </c>
      <c r="G59" t="str">
        <f t="shared" si="1"/>
        <v>7896541232</v>
      </c>
      <c r="H59" t="str">
        <f t="shared" si="2"/>
        <v>56</v>
      </c>
      <c r="I59" s="7" t="str">
        <f t="shared" si="3"/>
        <v>1234</v>
      </c>
      <c r="J59" t="s">
        <v>292</v>
      </c>
      <c r="K59" t="s">
        <v>293</v>
      </c>
      <c r="L59" s="7" t="str">
        <f t="shared" si="4"/>
        <v>59926334</v>
      </c>
      <c r="M59" s="7" t="str">
        <f t="shared" si="5"/>
        <v>L</v>
      </c>
      <c r="N59" s="7" t="str">
        <f t="shared" si="6"/>
        <v>L</v>
      </c>
      <c r="O59" s="7" t="str">
        <f t="shared" si="7"/>
        <v>59926334-L</v>
      </c>
    </row>
    <row r="60" spans="1:15" x14ac:dyDescent="0.25">
      <c r="A60">
        <v>1977</v>
      </c>
      <c r="B60" t="s">
        <v>294</v>
      </c>
      <c r="C60" t="s">
        <v>295</v>
      </c>
      <c r="D60" t="s">
        <v>49</v>
      </c>
      <c r="E60" s="1" t="s">
        <v>296</v>
      </c>
      <c r="F60" s="5" t="str">
        <f t="shared" si="0"/>
        <v>0121</v>
      </c>
      <c r="G60" t="str">
        <f t="shared" si="1"/>
        <v>1296036603</v>
      </c>
      <c r="H60" t="str">
        <f t="shared" si="2"/>
        <v>74</v>
      </c>
      <c r="I60" s="7" t="str">
        <f t="shared" si="3"/>
        <v>5896</v>
      </c>
      <c r="J60" t="s">
        <v>297</v>
      </c>
      <c r="K60" t="s">
        <v>298</v>
      </c>
      <c r="L60" s="7" t="str">
        <f t="shared" si="4"/>
        <v>61514920</v>
      </c>
      <c r="M60" s="7" t="str">
        <f t="shared" si="5"/>
        <v>H</v>
      </c>
      <c r="N60" s="7" t="str">
        <f t="shared" si="6"/>
        <v>H</v>
      </c>
      <c r="O60" s="7" t="str">
        <f t="shared" si="7"/>
        <v>61514920-H</v>
      </c>
    </row>
    <row r="61" spans="1:15" x14ac:dyDescent="0.25">
      <c r="A61">
        <v>1067</v>
      </c>
      <c r="B61" t="s">
        <v>299</v>
      </c>
      <c r="C61" t="s">
        <v>300</v>
      </c>
      <c r="D61" t="s">
        <v>54</v>
      </c>
      <c r="E61" s="1" t="s">
        <v>301</v>
      </c>
      <c r="F61" s="5" t="str">
        <f t="shared" si="0"/>
        <v>0235</v>
      </c>
      <c r="G61" t="str">
        <f t="shared" si="1"/>
        <v>0036987431</v>
      </c>
      <c r="H61" t="str">
        <f t="shared" si="2"/>
        <v>02</v>
      </c>
      <c r="I61" s="7" t="str">
        <f t="shared" si="3"/>
        <v>0012</v>
      </c>
      <c r="J61" t="s">
        <v>302</v>
      </c>
      <c r="K61" t="s">
        <v>303</v>
      </c>
      <c r="L61" s="7" t="str">
        <f t="shared" si="4"/>
        <v>60364089</v>
      </c>
      <c r="M61" s="7" t="str">
        <f t="shared" si="5"/>
        <v>F</v>
      </c>
      <c r="N61" s="7" t="str">
        <f t="shared" si="6"/>
        <v>F</v>
      </c>
      <c r="O61" s="7" t="str">
        <f t="shared" si="7"/>
        <v>60364089-F</v>
      </c>
    </row>
    <row r="62" spans="1:15" x14ac:dyDescent="0.25">
      <c r="A62">
        <v>1976</v>
      </c>
      <c r="B62" t="s">
        <v>304</v>
      </c>
      <c r="C62" t="s">
        <v>183</v>
      </c>
      <c r="D62" t="s">
        <v>72</v>
      </c>
      <c r="E62" s="1" t="s">
        <v>305</v>
      </c>
      <c r="F62" s="5" t="str">
        <f t="shared" si="0"/>
        <v>0075</v>
      </c>
      <c r="G62" t="str">
        <f t="shared" si="1"/>
        <v>7896541232</v>
      </c>
      <c r="H62" t="str">
        <f t="shared" si="2"/>
        <v>56</v>
      </c>
      <c r="I62" s="7" t="str">
        <f t="shared" si="3"/>
        <v>1234</v>
      </c>
      <c r="J62" t="s">
        <v>306</v>
      </c>
      <c r="K62" t="s">
        <v>307</v>
      </c>
      <c r="L62" s="7" t="str">
        <f t="shared" si="4"/>
        <v>46685338</v>
      </c>
      <c r="M62" s="7" t="str">
        <f t="shared" si="5"/>
        <v>D</v>
      </c>
      <c r="N62" s="7" t="str">
        <f t="shared" si="6"/>
        <v>D</v>
      </c>
      <c r="O62" s="7" t="str">
        <f t="shared" si="7"/>
        <v>46685338-D</v>
      </c>
    </row>
    <row r="63" spans="1:15" x14ac:dyDescent="0.25">
      <c r="A63">
        <v>1168</v>
      </c>
      <c r="B63" t="s">
        <v>308</v>
      </c>
      <c r="C63" t="s">
        <v>309</v>
      </c>
      <c r="D63" t="s">
        <v>77</v>
      </c>
      <c r="E63" s="1" t="s">
        <v>310</v>
      </c>
      <c r="F63" s="5" t="str">
        <f t="shared" si="0"/>
        <v>0238</v>
      </c>
      <c r="G63" t="str">
        <f t="shared" si="1"/>
        <v>1296036604</v>
      </c>
      <c r="H63" t="str">
        <f t="shared" si="2"/>
        <v>74</v>
      </c>
      <c r="I63" s="7" t="str">
        <f t="shared" si="3"/>
        <v>5896</v>
      </c>
      <c r="J63" t="s">
        <v>311</v>
      </c>
      <c r="K63" t="s">
        <v>312</v>
      </c>
      <c r="L63" s="7" t="str">
        <f t="shared" si="4"/>
        <v>33837462</v>
      </c>
      <c r="M63" s="7" t="str">
        <f t="shared" si="5"/>
        <v>C</v>
      </c>
      <c r="N63" s="7" t="str">
        <f t="shared" si="6"/>
        <v>C</v>
      </c>
      <c r="O63" s="7" t="str">
        <f t="shared" si="7"/>
        <v>33837462-C</v>
      </c>
    </row>
    <row r="64" spans="1:15" x14ac:dyDescent="0.25">
      <c r="A64">
        <v>1815</v>
      </c>
      <c r="B64" t="s">
        <v>313</v>
      </c>
      <c r="C64" t="s">
        <v>314</v>
      </c>
      <c r="D64" t="s">
        <v>83</v>
      </c>
      <c r="E64" s="1" t="s">
        <v>315</v>
      </c>
      <c r="F64" s="5" t="str">
        <f t="shared" si="0"/>
        <v>0049</v>
      </c>
      <c r="G64" t="str">
        <f t="shared" si="1"/>
        <v>0036987432</v>
      </c>
      <c r="H64" t="str">
        <f t="shared" si="2"/>
        <v>02</v>
      </c>
      <c r="I64" s="7" t="str">
        <f t="shared" si="3"/>
        <v>0012</v>
      </c>
      <c r="J64" t="s">
        <v>316</v>
      </c>
      <c r="K64" t="s">
        <v>317</v>
      </c>
      <c r="L64" s="7" t="str">
        <f t="shared" si="4"/>
        <v>83600083</v>
      </c>
      <c r="M64" s="7" t="str">
        <f t="shared" si="5"/>
        <v>V</v>
      </c>
      <c r="N64" s="7" t="str">
        <f t="shared" si="6"/>
        <v>V</v>
      </c>
      <c r="O64" s="7" t="str">
        <f t="shared" si="7"/>
        <v>83600083-V</v>
      </c>
    </row>
    <row r="65" spans="1:15" x14ac:dyDescent="0.25">
      <c r="A65">
        <v>1068</v>
      </c>
      <c r="B65" t="s">
        <v>318</v>
      </c>
      <c r="C65" t="s">
        <v>319</v>
      </c>
      <c r="D65" t="s">
        <v>89</v>
      </c>
      <c r="E65" s="1" t="s">
        <v>320</v>
      </c>
      <c r="F65" s="5" t="str">
        <f t="shared" si="0"/>
        <v>0125</v>
      </c>
      <c r="G65" t="str">
        <f t="shared" si="1"/>
        <v>7896541232</v>
      </c>
      <c r="H65" t="str">
        <f t="shared" si="2"/>
        <v>56</v>
      </c>
      <c r="I65" s="7" t="str">
        <f t="shared" si="3"/>
        <v>1234</v>
      </c>
      <c r="J65" t="s">
        <v>321</v>
      </c>
      <c r="K65" t="s">
        <v>322</v>
      </c>
      <c r="L65" s="7" t="str">
        <f t="shared" si="4"/>
        <v>55126429</v>
      </c>
      <c r="M65" s="7" t="str">
        <f t="shared" si="5"/>
        <v>B</v>
      </c>
      <c r="N65" s="7" t="str">
        <f t="shared" si="6"/>
        <v>B</v>
      </c>
      <c r="O65" s="7" t="str">
        <f t="shared" si="7"/>
        <v>55126429-B</v>
      </c>
    </row>
    <row r="66" spans="1:15" x14ac:dyDescent="0.25">
      <c r="A66">
        <v>1012</v>
      </c>
      <c r="B66" t="s">
        <v>323</v>
      </c>
      <c r="C66" t="s">
        <v>324</v>
      </c>
      <c r="D66" t="s">
        <v>77</v>
      </c>
      <c r="E66" s="1" t="s">
        <v>325</v>
      </c>
      <c r="F66" s="5" t="str">
        <f t="shared" si="0"/>
        <v>0229</v>
      </c>
      <c r="G66" t="str">
        <f t="shared" si="1"/>
        <v>1296036605</v>
      </c>
      <c r="H66" t="str">
        <f t="shared" si="2"/>
        <v>74</v>
      </c>
      <c r="I66" s="7" t="str">
        <f t="shared" si="3"/>
        <v>5896</v>
      </c>
      <c r="J66" t="s">
        <v>326</v>
      </c>
      <c r="K66" t="s">
        <v>327</v>
      </c>
      <c r="L66" s="7" t="str">
        <f t="shared" si="4"/>
        <v>67473172</v>
      </c>
      <c r="M66" s="7" t="str">
        <f t="shared" si="5"/>
        <v>T</v>
      </c>
      <c r="N66" s="7" t="str">
        <f t="shared" si="6"/>
        <v>T</v>
      </c>
      <c r="O66" s="7" t="str">
        <f t="shared" si="7"/>
        <v>67473172-T</v>
      </c>
    </row>
    <row r="67" spans="1:15" x14ac:dyDescent="0.25">
      <c r="A67">
        <v>1301</v>
      </c>
      <c r="B67" t="s">
        <v>328</v>
      </c>
      <c r="C67" t="s">
        <v>329</v>
      </c>
      <c r="D67" t="s">
        <v>98</v>
      </c>
      <c r="E67" s="1" t="s">
        <v>330</v>
      </c>
      <c r="F67" s="5" t="str">
        <f t="shared" ref="F67:F115" si="8">LEFT(E67,4)</f>
        <v>0038</v>
      </c>
      <c r="G67" t="str">
        <f t="shared" ref="G67:G115" si="9">RIGHT(E67,10)</f>
        <v>0036987433</v>
      </c>
      <c r="H67" t="str">
        <f t="shared" ref="H67:H115" si="10">MID(E67,11,2)</f>
        <v>02</v>
      </c>
      <c r="I67" s="7" t="str">
        <f t="shared" ref="I67:I115" si="11">MID(E67,6,4)</f>
        <v>0012</v>
      </c>
      <c r="J67" t="s">
        <v>331</v>
      </c>
      <c r="K67" t="s">
        <v>332</v>
      </c>
      <c r="L67" s="7" t="str">
        <f t="shared" ref="L67:L115" si="12">LEFT(K67,8)</f>
        <v>09591983</v>
      </c>
      <c r="M67" s="7" t="str">
        <f t="shared" ref="M67:M115" si="13">RIGHT(K67,1)</f>
        <v>C</v>
      </c>
      <c r="N67" s="7" t="str">
        <f t="shared" ref="N67:N115" si="14">UPPER(M67)</f>
        <v>C</v>
      </c>
      <c r="O67" s="7" t="str">
        <f t="shared" ref="O67:O115" si="15">_xlfn.CONCAT(L67,"-",N67)</f>
        <v>09591983-C</v>
      </c>
    </row>
    <row r="68" spans="1:15" x14ac:dyDescent="0.25">
      <c r="A68">
        <v>1556</v>
      </c>
      <c r="B68" t="s">
        <v>333</v>
      </c>
      <c r="C68" t="s">
        <v>164</v>
      </c>
      <c r="D68" t="s">
        <v>271</v>
      </c>
      <c r="E68" s="1" t="s">
        <v>277</v>
      </c>
      <c r="F68" s="5" t="str">
        <f t="shared" si="8"/>
        <v>0099</v>
      </c>
      <c r="G68" t="str">
        <f t="shared" si="9"/>
        <v>7896541232</v>
      </c>
      <c r="H68" t="str">
        <f t="shared" si="10"/>
        <v>56</v>
      </c>
      <c r="I68" s="7" t="str">
        <f t="shared" si="11"/>
        <v>1234</v>
      </c>
      <c r="J68" t="s">
        <v>334</v>
      </c>
      <c r="K68" t="s">
        <v>335</v>
      </c>
      <c r="L68" s="7" t="str">
        <f t="shared" si="12"/>
        <v>51975690</v>
      </c>
      <c r="M68" s="7" t="str">
        <f t="shared" si="13"/>
        <v>A</v>
      </c>
      <c r="N68" s="7" t="str">
        <f t="shared" si="14"/>
        <v>A</v>
      </c>
      <c r="O68" s="7" t="str">
        <f t="shared" si="15"/>
        <v>51975690-A</v>
      </c>
    </row>
    <row r="69" spans="1:15" x14ac:dyDescent="0.25">
      <c r="A69">
        <v>1933</v>
      </c>
      <c r="B69" t="s">
        <v>336</v>
      </c>
      <c r="C69" t="s">
        <v>337</v>
      </c>
      <c r="D69" t="s">
        <v>276</v>
      </c>
      <c r="E69" s="1" t="s">
        <v>338</v>
      </c>
      <c r="F69" s="5" t="str">
        <f t="shared" si="8"/>
        <v>0121</v>
      </c>
      <c r="G69" t="str">
        <f t="shared" si="9"/>
        <v>1296036606</v>
      </c>
      <c r="H69" t="str">
        <f t="shared" si="10"/>
        <v>74</v>
      </c>
      <c r="I69" s="7" t="str">
        <f t="shared" si="11"/>
        <v>5896</v>
      </c>
      <c r="J69" t="s">
        <v>339</v>
      </c>
      <c r="K69" t="s">
        <v>340</v>
      </c>
      <c r="L69" s="7" t="str">
        <f t="shared" si="12"/>
        <v>15191882</v>
      </c>
      <c r="M69" s="7" t="str">
        <f t="shared" si="13"/>
        <v>R</v>
      </c>
      <c r="N69" s="7" t="str">
        <f t="shared" si="14"/>
        <v>R</v>
      </c>
      <c r="O69" s="7" t="str">
        <f t="shared" si="15"/>
        <v>15191882-R</v>
      </c>
    </row>
    <row r="70" spans="1:15" x14ac:dyDescent="0.25">
      <c r="A70">
        <v>1333</v>
      </c>
      <c r="B70" t="s">
        <v>341</v>
      </c>
      <c r="C70" t="s">
        <v>342</v>
      </c>
      <c r="D70" t="s">
        <v>125</v>
      </c>
      <c r="E70" s="1" t="s">
        <v>343</v>
      </c>
      <c r="F70" s="5" t="str">
        <f t="shared" si="8"/>
        <v>0235</v>
      </c>
      <c r="G70" t="str">
        <f t="shared" si="9"/>
        <v>0036987434</v>
      </c>
      <c r="H70" t="str">
        <f t="shared" si="10"/>
        <v>02</v>
      </c>
      <c r="I70" s="7" t="str">
        <f t="shared" si="11"/>
        <v>0012</v>
      </c>
      <c r="J70" t="s">
        <v>344</v>
      </c>
      <c r="K70" t="s">
        <v>345</v>
      </c>
      <c r="L70" s="7" t="str">
        <f t="shared" si="12"/>
        <v>05249209</v>
      </c>
      <c r="M70" s="7" t="str">
        <f t="shared" si="13"/>
        <v>T</v>
      </c>
      <c r="N70" s="7" t="str">
        <f t="shared" si="14"/>
        <v>T</v>
      </c>
      <c r="O70" s="7" t="str">
        <f t="shared" si="15"/>
        <v>05249209-T</v>
      </c>
    </row>
    <row r="71" spans="1:15" x14ac:dyDescent="0.25">
      <c r="A71">
        <v>1510</v>
      </c>
      <c r="B71" t="s">
        <v>346</v>
      </c>
      <c r="C71" t="s">
        <v>347</v>
      </c>
      <c r="D71" t="s">
        <v>285</v>
      </c>
      <c r="E71" s="1" t="s">
        <v>305</v>
      </c>
      <c r="F71" s="5" t="str">
        <f t="shared" si="8"/>
        <v>0075</v>
      </c>
      <c r="G71" t="str">
        <f t="shared" si="9"/>
        <v>7896541232</v>
      </c>
      <c r="H71" t="str">
        <f t="shared" si="10"/>
        <v>56</v>
      </c>
      <c r="I71" s="7" t="str">
        <f t="shared" si="11"/>
        <v>1234</v>
      </c>
      <c r="J71" t="s">
        <v>348</v>
      </c>
      <c r="K71" t="s">
        <v>349</v>
      </c>
      <c r="L71" s="7" t="str">
        <f t="shared" si="12"/>
        <v>30576737</v>
      </c>
      <c r="M71" s="7" t="str">
        <f t="shared" si="13"/>
        <v>U</v>
      </c>
      <c r="N71" s="7" t="str">
        <f t="shared" si="14"/>
        <v>U</v>
      </c>
      <c r="O71" s="7" t="str">
        <f t="shared" si="15"/>
        <v>30576737-U</v>
      </c>
    </row>
    <row r="72" spans="1:15" x14ac:dyDescent="0.25">
      <c r="A72">
        <v>1574</v>
      </c>
      <c r="B72" t="s">
        <v>350</v>
      </c>
      <c r="C72" t="s">
        <v>351</v>
      </c>
      <c r="D72" t="s">
        <v>290</v>
      </c>
      <c r="E72" s="1" t="s">
        <v>352</v>
      </c>
      <c r="F72" s="5" t="str">
        <f t="shared" si="8"/>
        <v>0238</v>
      </c>
      <c r="G72" t="str">
        <f t="shared" si="9"/>
        <v>1296036607</v>
      </c>
      <c r="H72" t="str">
        <f t="shared" si="10"/>
        <v>74</v>
      </c>
      <c r="I72" s="7" t="str">
        <f t="shared" si="11"/>
        <v>5896</v>
      </c>
      <c r="J72" t="s">
        <v>353</v>
      </c>
      <c r="K72" t="s">
        <v>354</v>
      </c>
      <c r="L72" s="7" t="str">
        <f t="shared" si="12"/>
        <v>62037736</v>
      </c>
      <c r="M72" s="7" t="str">
        <f t="shared" si="13"/>
        <v>r</v>
      </c>
      <c r="N72" s="7" t="str">
        <f t="shared" si="14"/>
        <v>R</v>
      </c>
      <c r="O72" s="7" t="str">
        <f t="shared" si="15"/>
        <v>62037736-R</v>
      </c>
    </row>
    <row r="73" spans="1:15" x14ac:dyDescent="0.25">
      <c r="A73">
        <v>1360</v>
      </c>
      <c r="B73" t="s">
        <v>355</v>
      </c>
      <c r="C73" t="s">
        <v>193</v>
      </c>
      <c r="D73" t="s">
        <v>295</v>
      </c>
      <c r="E73" s="1" t="s">
        <v>356</v>
      </c>
      <c r="F73" s="5" t="str">
        <f t="shared" si="8"/>
        <v>0049</v>
      </c>
      <c r="G73" t="str">
        <f t="shared" si="9"/>
        <v>0036987435</v>
      </c>
      <c r="H73" t="str">
        <f t="shared" si="10"/>
        <v>02</v>
      </c>
      <c r="I73" s="7" t="str">
        <f t="shared" si="11"/>
        <v>0012</v>
      </c>
      <c r="J73" t="s">
        <v>357</v>
      </c>
      <c r="K73" t="s">
        <v>358</v>
      </c>
      <c r="L73" s="7" t="str">
        <f t="shared" si="12"/>
        <v>31363941</v>
      </c>
      <c r="M73" s="7" t="str">
        <f t="shared" si="13"/>
        <v>N</v>
      </c>
      <c r="N73" s="7" t="str">
        <f t="shared" si="14"/>
        <v>N</v>
      </c>
      <c r="O73" s="7" t="str">
        <f t="shared" si="15"/>
        <v>31363941-N</v>
      </c>
    </row>
    <row r="74" spans="1:15" x14ac:dyDescent="0.25">
      <c r="A74">
        <v>1293</v>
      </c>
      <c r="B74" t="s">
        <v>359</v>
      </c>
      <c r="C74" t="s">
        <v>360</v>
      </c>
      <c r="D74" t="s">
        <v>300</v>
      </c>
      <c r="E74" s="1" t="s">
        <v>320</v>
      </c>
      <c r="F74" s="5" t="str">
        <f t="shared" si="8"/>
        <v>0125</v>
      </c>
      <c r="G74" t="str">
        <f t="shared" si="9"/>
        <v>7896541232</v>
      </c>
      <c r="H74" t="str">
        <f t="shared" si="10"/>
        <v>56</v>
      </c>
      <c r="I74" s="7" t="str">
        <f t="shared" si="11"/>
        <v>1234</v>
      </c>
      <c r="J74" t="s">
        <v>361</v>
      </c>
      <c r="K74" t="s">
        <v>362</v>
      </c>
      <c r="L74" s="7" t="str">
        <f t="shared" si="12"/>
        <v>25102028</v>
      </c>
      <c r="M74" s="7" t="str">
        <f t="shared" si="13"/>
        <v>R</v>
      </c>
      <c r="N74" s="7" t="str">
        <f t="shared" si="14"/>
        <v>R</v>
      </c>
      <c r="O74" s="7" t="str">
        <f t="shared" si="15"/>
        <v>25102028-R</v>
      </c>
    </row>
    <row r="75" spans="1:15" x14ac:dyDescent="0.25">
      <c r="A75">
        <v>1329</v>
      </c>
      <c r="B75" t="s">
        <v>363</v>
      </c>
      <c r="C75" t="s">
        <v>364</v>
      </c>
      <c r="D75" t="s">
        <v>183</v>
      </c>
      <c r="E75" s="1" t="s">
        <v>365</v>
      </c>
      <c r="F75" s="5" t="str">
        <f t="shared" si="8"/>
        <v>0229</v>
      </c>
      <c r="G75" t="str">
        <f t="shared" si="9"/>
        <v>1296036608</v>
      </c>
      <c r="H75" t="str">
        <f t="shared" si="10"/>
        <v>74</v>
      </c>
      <c r="I75" s="7" t="str">
        <f t="shared" si="11"/>
        <v>5896</v>
      </c>
      <c r="J75" t="s">
        <v>366</v>
      </c>
      <c r="K75" t="s">
        <v>367</v>
      </c>
      <c r="L75" s="7" t="str">
        <f t="shared" si="12"/>
        <v>07675790</v>
      </c>
      <c r="M75" s="7" t="str">
        <f t="shared" si="13"/>
        <v>W</v>
      </c>
      <c r="N75" s="7" t="str">
        <f t="shared" si="14"/>
        <v>W</v>
      </c>
      <c r="O75" s="7" t="str">
        <f t="shared" si="15"/>
        <v>07675790-W</v>
      </c>
    </row>
    <row r="76" spans="1:15" x14ac:dyDescent="0.25">
      <c r="A76">
        <v>1572</v>
      </c>
      <c r="B76" t="s">
        <v>368</v>
      </c>
      <c r="C76" t="s">
        <v>369</v>
      </c>
      <c r="D76" t="s">
        <v>309</v>
      </c>
      <c r="E76" s="1" t="s">
        <v>370</v>
      </c>
      <c r="F76" s="5" t="str">
        <f t="shared" si="8"/>
        <v>0038</v>
      </c>
      <c r="G76" t="str">
        <f t="shared" si="9"/>
        <v>0036987436</v>
      </c>
      <c r="H76" t="str">
        <f t="shared" si="10"/>
        <v>02</v>
      </c>
      <c r="I76" s="7" t="str">
        <f t="shared" si="11"/>
        <v>0012</v>
      </c>
      <c r="J76" t="s">
        <v>371</v>
      </c>
      <c r="K76" t="s">
        <v>372</v>
      </c>
      <c r="L76" s="7" t="str">
        <f t="shared" si="12"/>
        <v>64232765</v>
      </c>
      <c r="M76" s="7" t="str">
        <f t="shared" si="13"/>
        <v>E</v>
      </c>
      <c r="N76" s="7" t="str">
        <f t="shared" si="14"/>
        <v>E</v>
      </c>
      <c r="O76" s="7" t="str">
        <f t="shared" si="15"/>
        <v>64232765-E</v>
      </c>
    </row>
    <row r="77" spans="1:15" x14ac:dyDescent="0.25">
      <c r="A77">
        <v>1300</v>
      </c>
      <c r="B77" t="s">
        <v>373</v>
      </c>
      <c r="C77" t="s">
        <v>374</v>
      </c>
      <c r="D77" t="s">
        <v>314</v>
      </c>
      <c r="E77" s="1" t="s">
        <v>277</v>
      </c>
      <c r="F77" s="5" t="str">
        <f t="shared" si="8"/>
        <v>0099</v>
      </c>
      <c r="G77" t="str">
        <f t="shared" si="9"/>
        <v>7896541232</v>
      </c>
      <c r="H77" t="str">
        <f t="shared" si="10"/>
        <v>56</v>
      </c>
      <c r="I77" s="7" t="str">
        <f t="shared" si="11"/>
        <v>1234</v>
      </c>
      <c r="J77" t="s">
        <v>375</v>
      </c>
      <c r="K77" t="s">
        <v>376</v>
      </c>
      <c r="L77" s="7" t="str">
        <f t="shared" si="12"/>
        <v>51519956</v>
      </c>
      <c r="M77" s="7" t="str">
        <f t="shared" si="13"/>
        <v>Q</v>
      </c>
      <c r="N77" s="7" t="str">
        <f t="shared" si="14"/>
        <v>Q</v>
      </c>
      <c r="O77" s="7" t="str">
        <f t="shared" si="15"/>
        <v>51519956-Q</v>
      </c>
    </row>
    <row r="78" spans="1:15" x14ac:dyDescent="0.25">
      <c r="A78">
        <v>1557</v>
      </c>
      <c r="B78" t="s">
        <v>284</v>
      </c>
      <c r="C78" t="s">
        <v>377</v>
      </c>
      <c r="D78" t="s">
        <v>319</v>
      </c>
      <c r="E78" s="1" t="s">
        <v>378</v>
      </c>
      <c r="F78" s="5" t="str">
        <f t="shared" si="8"/>
        <v>0138</v>
      </c>
      <c r="G78" t="str">
        <f t="shared" si="9"/>
        <v>1296036609</v>
      </c>
      <c r="H78" t="str">
        <f t="shared" si="10"/>
        <v>74</v>
      </c>
      <c r="I78" s="7" t="str">
        <f t="shared" si="11"/>
        <v>5896</v>
      </c>
      <c r="J78" t="s">
        <v>379</v>
      </c>
      <c r="K78" t="s">
        <v>380</v>
      </c>
      <c r="L78" s="7" t="str">
        <f t="shared" si="12"/>
        <v>01529392</v>
      </c>
      <c r="M78" s="7" t="str">
        <f t="shared" si="13"/>
        <v>P</v>
      </c>
      <c r="N78" s="7" t="str">
        <f t="shared" si="14"/>
        <v>P</v>
      </c>
      <c r="O78" s="7" t="str">
        <f t="shared" si="15"/>
        <v>01529392-P</v>
      </c>
    </row>
    <row r="79" spans="1:15" x14ac:dyDescent="0.25">
      <c r="A79">
        <v>1169</v>
      </c>
      <c r="B79" t="s">
        <v>381</v>
      </c>
      <c r="C79" t="s">
        <v>382</v>
      </c>
      <c r="D79" t="s">
        <v>324</v>
      </c>
      <c r="E79" s="1" t="s">
        <v>383</v>
      </c>
      <c r="F79" s="5" t="str">
        <f t="shared" si="8"/>
        <v>0121</v>
      </c>
      <c r="G79" t="str">
        <f t="shared" si="9"/>
        <v>0036987437</v>
      </c>
      <c r="H79" t="str">
        <f t="shared" si="10"/>
        <v>02</v>
      </c>
      <c r="I79" s="7" t="str">
        <f t="shared" si="11"/>
        <v>0012</v>
      </c>
      <c r="J79" t="s">
        <v>384</v>
      </c>
      <c r="K79" t="s">
        <v>385</v>
      </c>
      <c r="L79" s="7" t="str">
        <f t="shared" si="12"/>
        <v>10436525</v>
      </c>
      <c r="M79" s="7" t="str">
        <f t="shared" si="13"/>
        <v>L</v>
      </c>
      <c r="N79" s="7" t="str">
        <f t="shared" si="14"/>
        <v>L</v>
      </c>
      <c r="O79" s="7" t="str">
        <f t="shared" si="15"/>
        <v>10436525-L</v>
      </c>
    </row>
    <row r="80" spans="1:15" x14ac:dyDescent="0.25">
      <c r="A80">
        <v>1758</v>
      </c>
      <c r="B80" t="s">
        <v>386</v>
      </c>
      <c r="C80" t="s">
        <v>135</v>
      </c>
      <c r="D80" t="s">
        <v>329</v>
      </c>
      <c r="E80" s="1" t="s">
        <v>121</v>
      </c>
      <c r="F80" s="5" t="str">
        <f t="shared" si="8"/>
        <v>0235</v>
      </c>
      <c r="G80" t="str">
        <f t="shared" si="9"/>
        <v>7896541232</v>
      </c>
      <c r="H80" t="str">
        <f t="shared" si="10"/>
        <v>56</v>
      </c>
      <c r="I80" s="7" t="str">
        <f t="shared" si="11"/>
        <v>1234</v>
      </c>
      <c r="J80" t="s">
        <v>387</v>
      </c>
      <c r="K80" t="s">
        <v>388</v>
      </c>
      <c r="L80" s="7" t="str">
        <f t="shared" si="12"/>
        <v>04703797</v>
      </c>
      <c r="M80" s="7" t="str">
        <f t="shared" si="13"/>
        <v>H</v>
      </c>
      <c r="N80" s="7" t="str">
        <f t="shared" si="14"/>
        <v>H</v>
      </c>
      <c r="O80" s="7" t="str">
        <f t="shared" si="15"/>
        <v>04703797-H</v>
      </c>
    </row>
    <row r="81" spans="1:15" x14ac:dyDescent="0.25">
      <c r="A81">
        <v>1310</v>
      </c>
      <c r="B81" t="s">
        <v>389</v>
      </c>
      <c r="C81" t="s">
        <v>390</v>
      </c>
      <c r="D81" t="s">
        <v>164</v>
      </c>
      <c r="E81" s="1" t="s">
        <v>391</v>
      </c>
      <c r="F81" s="5" t="str">
        <f t="shared" si="8"/>
        <v>0075</v>
      </c>
      <c r="G81" t="str">
        <f t="shared" si="9"/>
        <v>1296036610</v>
      </c>
      <c r="H81" t="str">
        <f t="shared" si="10"/>
        <v>74</v>
      </c>
      <c r="I81" s="7" t="str">
        <f t="shared" si="11"/>
        <v>5896</v>
      </c>
      <c r="J81" t="s">
        <v>392</v>
      </c>
      <c r="K81" t="s">
        <v>393</v>
      </c>
      <c r="L81" s="7" t="str">
        <f t="shared" si="12"/>
        <v>34014894</v>
      </c>
      <c r="M81" s="7" t="str">
        <f t="shared" si="13"/>
        <v>F</v>
      </c>
      <c r="N81" s="7" t="str">
        <f t="shared" si="14"/>
        <v>F</v>
      </c>
      <c r="O81" s="7" t="str">
        <f t="shared" si="15"/>
        <v>34014894-F</v>
      </c>
    </row>
    <row r="82" spans="1:15" x14ac:dyDescent="0.25">
      <c r="A82">
        <v>1041</v>
      </c>
      <c r="B82" t="s">
        <v>394</v>
      </c>
      <c r="C82" t="s">
        <v>395</v>
      </c>
      <c r="D82" t="s">
        <v>337</v>
      </c>
      <c r="E82" s="1" t="s">
        <v>396</v>
      </c>
      <c r="F82" s="5" t="str">
        <f t="shared" si="8"/>
        <v>0238</v>
      </c>
      <c r="G82" t="str">
        <f t="shared" si="9"/>
        <v>0036987438</v>
      </c>
      <c r="H82" t="str">
        <f t="shared" si="10"/>
        <v>02</v>
      </c>
      <c r="I82" s="7" t="str">
        <f t="shared" si="11"/>
        <v>0012</v>
      </c>
      <c r="J82" t="s">
        <v>397</v>
      </c>
      <c r="K82" t="s">
        <v>398</v>
      </c>
      <c r="L82" s="7" t="str">
        <f t="shared" si="12"/>
        <v>42360793</v>
      </c>
      <c r="M82" s="7" t="str">
        <f t="shared" si="13"/>
        <v>D</v>
      </c>
      <c r="N82" s="7" t="str">
        <f t="shared" si="14"/>
        <v>D</v>
      </c>
      <c r="O82" s="7" t="str">
        <f t="shared" si="15"/>
        <v>42360793-D</v>
      </c>
    </row>
    <row r="83" spans="1:15" x14ac:dyDescent="0.25">
      <c r="A83">
        <v>1361</v>
      </c>
      <c r="B83" t="s">
        <v>399</v>
      </c>
      <c r="C83" t="s">
        <v>400</v>
      </c>
      <c r="D83" t="s">
        <v>401</v>
      </c>
      <c r="E83" s="1" t="s">
        <v>136</v>
      </c>
      <c r="F83" s="5" t="str">
        <f t="shared" si="8"/>
        <v>0049</v>
      </c>
      <c r="G83" t="str">
        <f t="shared" si="9"/>
        <v>7896541232</v>
      </c>
      <c r="H83" t="str">
        <f t="shared" si="10"/>
        <v>56</v>
      </c>
      <c r="I83" s="7" t="str">
        <f t="shared" si="11"/>
        <v>1234</v>
      </c>
      <c r="J83" t="s">
        <v>402</v>
      </c>
      <c r="K83" t="s">
        <v>403</v>
      </c>
      <c r="L83" s="7" t="str">
        <f t="shared" si="12"/>
        <v>01968325</v>
      </c>
      <c r="M83" s="7" t="str">
        <f t="shared" si="13"/>
        <v>C</v>
      </c>
      <c r="N83" s="7" t="str">
        <f t="shared" si="14"/>
        <v>C</v>
      </c>
      <c r="O83" s="7" t="str">
        <f t="shared" si="15"/>
        <v>01968325-C</v>
      </c>
    </row>
    <row r="84" spans="1:15" x14ac:dyDescent="0.25">
      <c r="A84">
        <v>1793</v>
      </c>
      <c r="B84" t="s">
        <v>404</v>
      </c>
      <c r="C84" t="s">
        <v>405</v>
      </c>
      <c r="D84" t="s">
        <v>406</v>
      </c>
      <c r="E84" s="1" t="s">
        <v>407</v>
      </c>
      <c r="F84" s="5" t="str">
        <f t="shared" si="8"/>
        <v>0125</v>
      </c>
      <c r="G84" t="str">
        <f t="shared" si="9"/>
        <v>1296036611</v>
      </c>
      <c r="H84" t="str">
        <f t="shared" si="10"/>
        <v>74</v>
      </c>
      <c r="I84" s="7" t="str">
        <f t="shared" si="11"/>
        <v>5896</v>
      </c>
      <c r="J84" t="s">
        <v>408</v>
      </c>
      <c r="K84" t="s">
        <v>409</v>
      </c>
      <c r="L84" s="7" t="str">
        <f t="shared" si="12"/>
        <v>62344971</v>
      </c>
      <c r="M84" s="7" t="str">
        <f t="shared" si="13"/>
        <v>V</v>
      </c>
      <c r="N84" s="7" t="str">
        <f t="shared" si="14"/>
        <v>V</v>
      </c>
      <c r="O84" s="7" t="str">
        <f t="shared" si="15"/>
        <v>62344971-V</v>
      </c>
    </row>
    <row r="85" spans="1:15" x14ac:dyDescent="0.25">
      <c r="A85">
        <v>1967</v>
      </c>
      <c r="B85" t="s">
        <v>410</v>
      </c>
      <c r="C85" t="s">
        <v>411</v>
      </c>
      <c r="D85" t="s">
        <v>412</v>
      </c>
      <c r="E85" s="1" t="s">
        <v>413</v>
      </c>
      <c r="F85" s="5" t="str">
        <f t="shared" si="8"/>
        <v>0229</v>
      </c>
      <c r="G85" t="str">
        <f t="shared" si="9"/>
        <v>0036987439</v>
      </c>
      <c r="H85" t="str">
        <f t="shared" si="10"/>
        <v>02</v>
      </c>
      <c r="I85" s="7" t="str">
        <f t="shared" si="11"/>
        <v>0012</v>
      </c>
      <c r="J85" t="s">
        <v>414</v>
      </c>
      <c r="K85" t="s">
        <v>415</v>
      </c>
      <c r="L85" s="7" t="str">
        <f t="shared" si="12"/>
        <v>47428263</v>
      </c>
      <c r="M85" s="7" t="str">
        <f t="shared" si="13"/>
        <v>B</v>
      </c>
      <c r="N85" s="7" t="str">
        <f t="shared" si="14"/>
        <v>B</v>
      </c>
      <c r="O85" s="7" t="str">
        <f t="shared" si="15"/>
        <v>47428263-B</v>
      </c>
    </row>
    <row r="86" spans="1:15" x14ac:dyDescent="0.25">
      <c r="A86">
        <v>1725</v>
      </c>
      <c r="B86" t="s">
        <v>416</v>
      </c>
      <c r="C86" t="s">
        <v>347</v>
      </c>
      <c r="D86" t="s">
        <v>417</v>
      </c>
      <c r="E86" s="1" t="s">
        <v>90</v>
      </c>
      <c r="F86" s="5" t="str">
        <f t="shared" si="8"/>
        <v>0038</v>
      </c>
      <c r="G86" t="str">
        <f t="shared" si="9"/>
        <v>7896541232</v>
      </c>
      <c r="H86" t="str">
        <f t="shared" si="10"/>
        <v>56</v>
      </c>
      <c r="I86" s="7" t="str">
        <f t="shared" si="11"/>
        <v>1234</v>
      </c>
      <c r="J86" t="s">
        <v>418</v>
      </c>
      <c r="K86" t="s">
        <v>419</v>
      </c>
      <c r="L86" s="7" t="str">
        <f t="shared" si="12"/>
        <v>19558890</v>
      </c>
      <c r="M86" s="7" t="str">
        <f t="shared" si="13"/>
        <v>R</v>
      </c>
      <c r="N86" s="7" t="str">
        <f t="shared" si="14"/>
        <v>R</v>
      </c>
      <c r="O86" s="7" t="str">
        <f t="shared" si="15"/>
        <v>19558890-R</v>
      </c>
    </row>
    <row r="87" spans="1:15" x14ac:dyDescent="0.25">
      <c r="A87">
        <v>1969</v>
      </c>
      <c r="B87" t="s">
        <v>420</v>
      </c>
      <c r="C87" t="s">
        <v>421</v>
      </c>
      <c r="D87" t="s">
        <v>422</v>
      </c>
      <c r="E87" s="1" t="s">
        <v>423</v>
      </c>
      <c r="F87" s="5" t="str">
        <f t="shared" si="8"/>
        <v>0099</v>
      </c>
      <c r="G87" t="str">
        <f t="shared" si="9"/>
        <v>1296036612</v>
      </c>
      <c r="H87" t="str">
        <f t="shared" si="10"/>
        <v>74</v>
      </c>
      <c r="I87" s="7" t="str">
        <f t="shared" si="11"/>
        <v>5896</v>
      </c>
      <c r="J87" t="s">
        <v>424</v>
      </c>
      <c r="K87" t="s">
        <v>425</v>
      </c>
      <c r="L87" s="7" t="str">
        <f t="shared" si="12"/>
        <v>39060074</v>
      </c>
      <c r="M87" s="7" t="str">
        <f t="shared" si="13"/>
        <v>T</v>
      </c>
      <c r="N87" s="7" t="str">
        <f t="shared" si="14"/>
        <v>T</v>
      </c>
      <c r="O87" s="7" t="str">
        <f t="shared" si="15"/>
        <v>39060074-T</v>
      </c>
    </row>
    <row r="88" spans="1:15" x14ac:dyDescent="0.25">
      <c r="A88">
        <v>1962</v>
      </c>
      <c r="B88" t="s">
        <v>426</v>
      </c>
      <c r="C88" t="s">
        <v>427</v>
      </c>
      <c r="D88" t="s">
        <v>428</v>
      </c>
      <c r="E88" s="1" t="s">
        <v>429</v>
      </c>
      <c r="F88" s="5" t="str">
        <f t="shared" si="8"/>
        <v>0031</v>
      </c>
      <c r="G88" t="str">
        <f t="shared" si="9"/>
        <v>0036987440</v>
      </c>
      <c r="H88" t="str">
        <f t="shared" si="10"/>
        <v>02</v>
      </c>
      <c r="I88" s="7" t="str">
        <f t="shared" si="11"/>
        <v>0012</v>
      </c>
      <c r="J88" t="s">
        <v>430</v>
      </c>
      <c r="K88" t="s">
        <v>431</v>
      </c>
      <c r="L88" s="7" t="str">
        <f t="shared" si="12"/>
        <v>63424845</v>
      </c>
      <c r="M88" s="7" t="str">
        <f t="shared" si="13"/>
        <v>U</v>
      </c>
      <c r="N88" s="7" t="str">
        <f t="shared" si="14"/>
        <v>U</v>
      </c>
      <c r="O88" s="7" t="str">
        <f t="shared" si="15"/>
        <v>63424845-U</v>
      </c>
    </row>
    <row r="89" spans="1:15" x14ac:dyDescent="0.25">
      <c r="A89">
        <v>1967</v>
      </c>
      <c r="B89" t="s">
        <v>432</v>
      </c>
      <c r="C89" t="s">
        <v>433</v>
      </c>
      <c r="D89" t="s">
        <v>434</v>
      </c>
      <c r="E89" s="1" t="s">
        <v>248</v>
      </c>
      <c r="F89" s="5" t="str">
        <f t="shared" si="8"/>
        <v>0184</v>
      </c>
      <c r="G89" t="str">
        <f t="shared" si="9"/>
        <v>7896541232</v>
      </c>
      <c r="H89" t="str">
        <f t="shared" si="10"/>
        <v>56</v>
      </c>
      <c r="I89" s="7" t="str">
        <f t="shared" si="11"/>
        <v>1234</v>
      </c>
      <c r="J89" t="s">
        <v>435</v>
      </c>
      <c r="K89" t="s">
        <v>436</v>
      </c>
      <c r="L89" s="7" t="str">
        <f t="shared" si="12"/>
        <v>63070245</v>
      </c>
      <c r="M89" s="7" t="str">
        <f t="shared" si="13"/>
        <v>J</v>
      </c>
      <c r="N89" s="7" t="str">
        <f t="shared" si="14"/>
        <v>J</v>
      </c>
      <c r="O89" s="7" t="str">
        <f t="shared" si="15"/>
        <v>63070245-J</v>
      </c>
    </row>
    <row r="90" spans="1:15" x14ac:dyDescent="0.25">
      <c r="A90">
        <v>1426</v>
      </c>
      <c r="B90" t="s">
        <v>437</v>
      </c>
      <c r="C90" t="s">
        <v>401</v>
      </c>
      <c r="D90" t="s">
        <v>438</v>
      </c>
      <c r="E90" s="1" t="s">
        <v>439</v>
      </c>
      <c r="F90" s="5" t="str">
        <f t="shared" si="8"/>
        <v>0488</v>
      </c>
      <c r="G90" t="str">
        <f t="shared" si="9"/>
        <v>1296036613</v>
      </c>
      <c r="H90" t="str">
        <f t="shared" si="10"/>
        <v>74</v>
      </c>
      <c r="I90" s="7" t="str">
        <f t="shared" si="11"/>
        <v>5896</v>
      </c>
      <c r="J90" t="s">
        <v>440</v>
      </c>
      <c r="K90" t="s">
        <v>441</v>
      </c>
      <c r="L90" s="7" t="str">
        <f t="shared" si="12"/>
        <v>73784423</v>
      </c>
      <c r="M90" s="7" t="str">
        <f t="shared" si="13"/>
        <v>N</v>
      </c>
      <c r="N90" s="7" t="str">
        <f t="shared" si="14"/>
        <v>N</v>
      </c>
      <c r="O90" s="7" t="str">
        <f t="shared" si="15"/>
        <v>73784423-N</v>
      </c>
    </row>
    <row r="91" spans="1:15" x14ac:dyDescent="0.25">
      <c r="A91">
        <v>1509</v>
      </c>
      <c r="B91" t="s">
        <v>442</v>
      </c>
      <c r="C91" t="s">
        <v>406</v>
      </c>
      <c r="D91" t="s">
        <v>443</v>
      </c>
      <c r="E91" s="1" t="s">
        <v>444</v>
      </c>
      <c r="F91" s="5" t="str">
        <f t="shared" si="8"/>
        <v>0220</v>
      </c>
      <c r="G91" t="str">
        <f t="shared" si="9"/>
        <v>0036987441</v>
      </c>
      <c r="H91" t="str">
        <f t="shared" si="10"/>
        <v>02</v>
      </c>
      <c r="I91" s="7" t="str">
        <f t="shared" si="11"/>
        <v>0012</v>
      </c>
      <c r="J91" t="s">
        <v>445</v>
      </c>
      <c r="K91" t="s">
        <v>446</v>
      </c>
      <c r="L91" s="7" t="str">
        <f t="shared" si="12"/>
        <v>34822785</v>
      </c>
      <c r="M91" s="7" t="str">
        <f t="shared" si="13"/>
        <v>R</v>
      </c>
      <c r="N91" s="7" t="str">
        <f t="shared" si="14"/>
        <v>R</v>
      </c>
      <c r="O91" s="7" t="str">
        <f t="shared" si="15"/>
        <v>34822785-R</v>
      </c>
    </row>
    <row r="92" spans="1:15" x14ac:dyDescent="0.25">
      <c r="A92">
        <v>1673</v>
      </c>
      <c r="B92" t="s">
        <v>447</v>
      </c>
      <c r="C92" t="s">
        <v>412</v>
      </c>
      <c r="D92" t="s">
        <v>169</v>
      </c>
      <c r="E92" s="1" t="s">
        <v>262</v>
      </c>
      <c r="F92" s="5" t="str">
        <f t="shared" si="8"/>
        <v>0046</v>
      </c>
      <c r="G92" t="str">
        <f t="shared" si="9"/>
        <v>7896541232</v>
      </c>
      <c r="H92" t="str">
        <f t="shared" si="10"/>
        <v>56</v>
      </c>
      <c r="I92" s="7" t="str">
        <f t="shared" si="11"/>
        <v>1234</v>
      </c>
      <c r="J92" t="s">
        <v>448</v>
      </c>
      <c r="K92" t="s">
        <v>449</v>
      </c>
      <c r="L92" s="7" t="str">
        <f t="shared" si="12"/>
        <v>56236718</v>
      </c>
      <c r="M92" s="7" t="str">
        <f t="shared" si="13"/>
        <v>W</v>
      </c>
      <c r="N92" s="7" t="str">
        <f t="shared" si="14"/>
        <v>W</v>
      </c>
      <c r="O92" s="7" t="str">
        <f t="shared" si="15"/>
        <v>56236718-W</v>
      </c>
    </row>
    <row r="93" spans="1:15" x14ac:dyDescent="0.25">
      <c r="A93">
        <v>1352</v>
      </c>
      <c r="B93" t="s">
        <v>450</v>
      </c>
      <c r="C93" t="s">
        <v>417</v>
      </c>
      <c r="D93" t="s">
        <v>88</v>
      </c>
      <c r="E93" s="1" t="s">
        <v>451</v>
      </c>
      <c r="F93" s="5" t="str">
        <f t="shared" si="8"/>
        <v>2086</v>
      </c>
      <c r="G93" t="str">
        <f t="shared" si="9"/>
        <v>1296036614</v>
      </c>
      <c r="H93" t="str">
        <f t="shared" si="10"/>
        <v>74</v>
      </c>
      <c r="I93" s="7" t="str">
        <f t="shared" si="11"/>
        <v>5896</v>
      </c>
      <c r="J93" t="s">
        <v>452</v>
      </c>
      <c r="K93" t="s">
        <v>453</v>
      </c>
      <c r="L93" s="7" t="str">
        <f t="shared" si="12"/>
        <v>23977784</v>
      </c>
      <c r="M93" s="7" t="str">
        <f t="shared" si="13"/>
        <v>E</v>
      </c>
      <c r="N93" s="7" t="str">
        <f t="shared" si="14"/>
        <v>E</v>
      </c>
      <c r="O93" s="7" t="str">
        <f t="shared" si="15"/>
        <v>23977784-E</v>
      </c>
    </row>
    <row r="94" spans="1:15" x14ac:dyDescent="0.25">
      <c r="A94">
        <v>1922</v>
      </c>
      <c r="B94" t="s">
        <v>454</v>
      </c>
      <c r="C94" t="s">
        <v>422</v>
      </c>
      <c r="D94" t="s">
        <v>125</v>
      </c>
      <c r="E94" s="1" t="s">
        <v>455</v>
      </c>
      <c r="F94" s="5" t="str">
        <f t="shared" si="8"/>
        <v>0038</v>
      </c>
      <c r="G94" t="str">
        <f t="shared" si="9"/>
        <v>0036987442</v>
      </c>
      <c r="H94" t="str">
        <f t="shared" si="10"/>
        <v>02</v>
      </c>
      <c r="I94" s="7" t="str">
        <f t="shared" si="11"/>
        <v>0012</v>
      </c>
      <c r="J94" t="s">
        <v>456</v>
      </c>
      <c r="K94" t="s">
        <v>457</v>
      </c>
      <c r="L94" s="7" t="str">
        <f t="shared" si="12"/>
        <v>87141328</v>
      </c>
      <c r="M94" s="7" t="str">
        <f t="shared" si="13"/>
        <v>Q</v>
      </c>
      <c r="N94" s="7" t="str">
        <f t="shared" si="14"/>
        <v>Q</v>
      </c>
      <c r="O94" s="7" t="str">
        <f t="shared" si="15"/>
        <v>87141328-Q</v>
      </c>
    </row>
    <row r="95" spans="1:15" x14ac:dyDescent="0.25">
      <c r="A95">
        <v>1518</v>
      </c>
      <c r="B95" t="s">
        <v>458</v>
      </c>
      <c r="C95" t="s">
        <v>428</v>
      </c>
      <c r="D95" t="s">
        <v>459</v>
      </c>
      <c r="E95" s="1" t="s">
        <v>277</v>
      </c>
      <c r="F95" s="5" t="str">
        <f t="shared" si="8"/>
        <v>0099</v>
      </c>
      <c r="G95" t="str">
        <f t="shared" si="9"/>
        <v>7896541232</v>
      </c>
      <c r="H95" t="str">
        <f t="shared" si="10"/>
        <v>56</v>
      </c>
      <c r="I95" s="7" t="str">
        <f t="shared" si="11"/>
        <v>1234</v>
      </c>
      <c r="J95" t="s">
        <v>460</v>
      </c>
      <c r="K95" t="s">
        <v>461</v>
      </c>
      <c r="L95" s="7" t="str">
        <f t="shared" si="12"/>
        <v>58008315</v>
      </c>
      <c r="M95" s="7" t="str">
        <f t="shared" si="13"/>
        <v>c</v>
      </c>
      <c r="N95" s="7" t="str">
        <f t="shared" si="14"/>
        <v>C</v>
      </c>
      <c r="O95" s="7" t="str">
        <f t="shared" si="15"/>
        <v>58008315-C</v>
      </c>
    </row>
    <row r="96" spans="1:15" x14ac:dyDescent="0.25">
      <c r="A96">
        <v>1331</v>
      </c>
      <c r="B96" t="s">
        <v>462</v>
      </c>
      <c r="C96" t="s">
        <v>434</v>
      </c>
      <c r="D96" t="s">
        <v>463</v>
      </c>
      <c r="E96" s="1" t="s">
        <v>464</v>
      </c>
      <c r="F96" s="5" t="str">
        <f t="shared" si="8"/>
        <v>2038</v>
      </c>
      <c r="G96" t="str">
        <f t="shared" si="9"/>
        <v>1296036615</v>
      </c>
      <c r="H96" t="str">
        <f t="shared" si="10"/>
        <v>74</v>
      </c>
      <c r="I96" s="7" t="str">
        <f t="shared" si="11"/>
        <v>5896</v>
      </c>
      <c r="J96" t="s">
        <v>465</v>
      </c>
      <c r="K96" t="s">
        <v>466</v>
      </c>
      <c r="L96" s="7" t="str">
        <f t="shared" si="12"/>
        <v>51332804</v>
      </c>
      <c r="M96" s="7" t="str">
        <f t="shared" si="13"/>
        <v>L</v>
      </c>
      <c r="N96" s="7" t="str">
        <f t="shared" si="14"/>
        <v>L</v>
      </c>
      <c r="O96" s="7" t="str">
        <f t="shared" si="15"/>
        <v>51332804-L</v>
      </c>
    </row>
    <row r="97" spans="1:15" x14ac:dyDescent="0.25">
      <c r="A97">
        <v>1303</v>
      </c>
      <c r="B97" t="s">
        <v>467</v>
      </c>
      <c r="C97" t="s">
        <v>438</v>
      </c>
      <c r="D97" t="s">
        <v>468</v>
      </c>
      <c r="E97" s="1" t="s">
        <v>469</v>
      </c>
      <c r="F97" s="5" t="str">
        <f t="shared" si="8"/>
        <v>0128</v>
      </c>
      <c r="G97" t="str">
        <f t="shared" si="9"/>
        <v>0036987443</v>
      </c>
      <c r="H97" t="str">
        <f t="shared" si="10"/>
        <v>02</v>
      </c>
      <c r="I97" s="7" t="str">
        <f t="shared" si="11"/>
        <v>0012</v>
      </c>
      <c r="J97" t="s">
        <v>470</v>
      </c>
      <c r="K97" t="s">
        <v>471</v>
      </c>
      <c r="L97" s="7" t="str">
        <f t="shared" si="12"/>
        <v>62678616</v>
      </c>
      <c r="M97" s="7" t="str">
        <f t="shared" si="13"/>
        <v>H</v>
      </c>
      <c r="N97" s="7" t="str">
        <f t="shared" si="14"/>
        <v>H</v>
      </c>
      <c r="O97" s="7" t="str">
        <f t="shared" si="15"/>
        <v>62678616-H</v>
      </c>
    </row>
    <row r="98" spans="1:15" x14ac:dyDescent="0.25">
      <c r="A98">
        <v>1302</v>
      </c>
      <c r="B98" t="s">
        <v>472</v>
      </c>
      <c r="C98" t="s">
        <v>443</v>
      </c>
      <c r="D98" t="s">
        <v>473</v>
      </c>
      <c r="E98" s="1" t="s">
        <v>291</v>
      </c>
      <c r="F98" s="5" t="str">
        <f t="shared" si="8"/>
        <v>0138</v>
      </c>
      <c r="G98" t="str">
        <f t="shared" si="9"/>
        <v>7896541232</v>
      </c>
      <c r="H98" t="str">
        <f t="shared" si="10"/>
        <v>56</v>
      </c>
      <c r="I98" s="7" t="str">
        <f t="shared" si="11"/>
        <v>1234</v>
      </c>
      <c r="J98" t="s">
        <v>474</v>
      </c>
      <c r="K98" t="s">
        <v>475</v>
      </c>
      <c r="L98" s="7" t="str">
        <f t="shared" si="12"/>
        <v>51122721</v>
      </c>
      <c r="M98" s="7" t="str">
        <f t="shared" si="13"/>
        <v>F</v>
      </c>
      <c r="N98" s="7" t="str">
        <f t="shared" si="14"/>
        <v>F</v>
      </c>
      <c r="O98" s="7" t="str">
        <f t="shared" si="15"/>
        <v>51122721-F</v>
      </c>
    </row>
    <row r="99" spans="1:15" x14ac:dyDescent="0.25">
      <c r="A99">
        <v>1334</v>
      </c>
      <c r="B99" t="s">
        <v>368</v>
      </c>
      <c r="C99" t="s">
        <v>169</v>
      </c>
      <c r="D99" t="s">
        <v>476</v>
      </c>
      <c r="E99" s="1" t="s">
        <v>477</v>
      </c>
      <c r="F99" s="5" t="str">
        <f t="shared" si="8"/>
        <v>0121</v>
      </c>
      <c r="G99" t="str">
        <f t="shared" si="9"/>
        <v>1296036616</v>
      </c>
      <c r="H99" t="str">
        <f t="shared" si="10"/>
        <v>74</v>
      </c>
      <c r="I99" s="7" t="str">
        <f t="shared" si="11"/>
        <v>5896</v>
      </c>
      <c r="J99" t="s">
        <v>478</v>
      </c>
      <c r="K99" t="s">
        <v>479</v>
      </c>
      <c r="L99" s="7" t="str">
        <f t="shared" si="12"/>
        <v>49750887</v>
      </c>
      <c r="M99" s="7" t="str">
        <f t="shared" si="13"/>
        <v>D</v>
      </c>
      <c r="N99" s="7" t="str">
        <f t="shared" si="14"/>
        <v>D</v>
      </c>
      <c r="O99" s="7" t="str">
        <f t="shared" si="15"/>
        <v>49750887-D</v>
      </c>
    </row>
    <row r="100" spans="1:15" x14ac:dyDescent="0.25">
      <c r="A100">
        <v>1975</v>
      </c>
      <c r="B100" t="s">
        <v>480</v>
      </c>
      <c r="C100" t="s">
        <v>88</v>
      </c>
      <c r="D100" t="s">
        <v>481</v>
      </c>
      <c r="E100" s="1" t="s">
        <v>482</v>
      </c>
      <c r="F100" s="5" t="str">
        <f t="shared" si="8"/>
        <v>0235</v>
      </c>
      <c r="G100" t="str">
        <f t="shared" si="9"/>
        <v>0036987444</v>
      </c>
      <c r="H100" t="str">
        <f t="shared" si="10"/>
        <v>02</v>
      </c>
      <c r="I100" s="7" t="str">
        <f t="shared" si="11"/>
        <v>0012</v>
      </c>
      <c r="J100" t="s">
        <v>483</v>
      </c>
      <c r="K100" t="s">
        <v>484</v>
      </c>
      <c r="L100" s="7" t="str">
        <f t="shared" si="12"/>
        <v>37314157</v>
      </c>
      <c r="M100" s="7" t="str">
        <f t="shared" si="13"/>
        <v>C</v>
      </c>
      <c r="N100" s="7" t="str">
        <f t="shared" si="14"/>
        <v>C</v>
      </c>
      <c r="O100" s="7" t="str">
        <f t="shared" si="15"/>
        <v>37314157-C</v>
      </c>
    </row>
    <row r="101" spans="1:15" x14ac:dyDescent="0.25">
      <c r="A101">
        <v>1759</v>
      </c>
      <c r="B101" t="s">
        <v>485</v>
      </c>
      <c r="C101" t="s">
        <v>125</v>
      </c>
      <c r="D101" t="s">
        <v>364</v>
      </c>
      <c r="E101" s="1" t="s">
        <v>305</v>
      </c>
      <c r="F101" s="5" t="str">
        <f t="shared" si="8"/>
        <v>0075</v>
      </c>
      <c r="G101" t="str">
        <f t="shared" si="9"/>
        <v>7896541232</v>
      </c>
      <c r="H101" t="str">
        <f t="shared" si="10"/>
        <v>56</v>
      </c>
      <c r="I101" s="7" t="str">
        <f t="shared" si="11"/>
        <v>1234</v>
      </c>
      <c r="J101" t="s">
        <v>486</v>
      </c>
      <c r="K101" t="s">
        <v>487</v>
      </c>
      <c r="L101" s="7" t="str">
        <f t="shared" si="12"/>
        <v>68469693</v>
      </c>
      <c r="M101" s="7" t="str">
        <f t="shared" si="13"/>
        <v>V</v>
      </c>
      <c r="N101" s="7" t="str">
        <f t="shared" si="14"/>
        <v>V</v>
      </c>
      <c r="O101" s="7" t="str">
        <f t="shared" si="15"/>
        <v>68469693-V</v>
      </c>
    </row>
    <row r="102" spans="1:15" x14ac:dyDescent="0.25">
      <c r="A102">
        <v>1055</v>
      </c>
      <c r="B102" t="s">
        <v>333</v>
      </c>
      <c r="C102" t="s">
        <v>459</v>
      </c>
      <c r="D102" t="s">
        <v>374</v>
      </c>
      <c r="E102" s="1" t="s">
        <v>488</v>
      </c>
      <c r="F102" s="5" t="str">
        <f t="shared" si="8"/>
        <v>0238</v>
      </c>
      <c r="G102" t="str">
        <f t="shared" si="9"/>
        <v>1296036617</v>
      </c>
      <c r="H102" t="str">
        <f t="shared" si="10"/>
        <v>74</v>
      </c>
      <c r="I102" s="7" t="str">
        <f t="shared" si="11"/>
        <v>5896</v>
      </c>
      <c r="J102" t="s">
        <v>489</v>
      </c>
      <c r="K102" t="s">
        <v>490</v>
      </c>
      <c r="L102" s="7" t="str">
        <f t="shared" si="12"/>
        <v>76113598</v>
      </c>
      <c r="M102" s="7" t="str">
        <f t="shared" si="13"/>
        <v>B</v>
      </c>
      <c r="N102" s="7" t="str">
        <f t="shared" si="14"/>
        <v>B</v>
      </c>
      <c r="O102" s="7" t="str">
        <f t="shared" si="15"/>
        <v>76113598-B</v>
      </c>
    </row>
    <row r="103" spans="1:15" x14ac:dyDescent="0.25">
      <c r="A103">
        <v>1054</v>
      </c>
      <c r="B103" t="s">
        <v>491</v>
      </c>
      <c r="C103" t="s">
        <v>463</v>
      </c>
      <c r="D103" t="s">
        <v>492</v>
      </c>
      <c r="E103" s="1" t="s">
        <v>493</v>
      </c>
      <c r="F103" s="5" t="str">
        <f t="shared" si="8"/>
        <v>0049</v>
      </c>
      <c r="G103" t="str">
        <f t="shared" si="9"/>
        <v>0036987445</v>
      </c>
      <c r="H103" t="str">
        <f t="shared" si="10"/>
        <v>02</v>
      </c>
      <c r="I103" s="7" t="str">
        <f t="shared" si="11"/>
        <v>0012</v>
      </c>
      <c r="J103" t="s">
        <v>494</v>
      </c>
      <c r="K103" t="s">
        <v>495</v>
      </c>
      <c r="L103" s="7" t="str">
        <f t="shared" si="12"/>
        <v>39500157</v>
      </c>
      <c r="M103" s="7" t="str">
        <f t="shared" si="13"/>
        <v>T</v>
      </c>
      <c r="N103" s="7" t="str">
        <f t="shared" si="14"/>
        <v>T</v>
      </c>
      <c r="O103" s="7" t="str">
        <f t="shared" si="15"/>
        <v>39500157-T</v>
      </c>
    </row>
    <row r="104" spans="1:15" x14ac:dyDescent="0.25">
      <c r="A104">
        <v>1075</v>
      </c>
      <c r="B104" t="s">
        <v>496</v>
      </c>
      <c r="C104" t="s">
        <v>468</v>
      </c>
      <c r="D104" t="s">
        <v>497</v>
      </c>
      <c r="E104" s="1" t="s">
        <v>320</v>
      </c>
      <c r="F104" s="5" t="str">
        <f t="shared" si="8"/>
        <v>0125</v>
      </c>
      <c r="G104" t="str">
        <f t="shared" si="9"/>
        <v>7896541232</v>
      </c>
      <c r="H104" t="str">
        <f t="shared" si="10"/>
        <v>56</v>
      </c>
      <c r="I104" s="7" t="str">
        <f t="shared" si="11"/>
        <v>1234</v>
      </c>
      <c r="J104" t="s">
        <v>498</v>
      </c>
      <c r="K104" t="s">
        <v>499</v>
      </c>
      <c r="L104" s="7" t="str">
        <f t="shared" si="12"/>
        <v>48019070</v>
      </c>
      <c r="M104" s="7" t="str">
        <f t="shared" si="13"/>
        <v>C</v>
      </c>
      <c r="N104" s="7" t="str">
        <f t="shared" si="14"/>
        <v>C</v>
      </c>
      <c r="O104" s="7" t="str">
        <f t="shared" si="15"/>
        <v>48019070-C</v>
      </c>
    </row>
    <row r="105" spans="1:15" x14ac:dyDescent="0.25">
      <c r="A105">
        <v>1966</v>
      </c>
      <c r="B105" t="s">
        <v>500</v>
      </c>
      <c r="C105" t="s">
        <v>473</v>
      </c>
      <c r="D105" t="s">
        <v>276</v>
      </c>
      <c r="E105" s="1" t="s">
        <v>501</v>
      </c>
      <c r="F105" s="5" t="str">
        <f t="shared" si="8"/>
        <v>0229</v>
      </c>
      <c r="G105" t="str">
        <f t="shared" si="9"/>
        <v>1296036618</v>
      </c>
      <c r="H105" t="str">
        <f t="shared" si="10"/>
        <v>74</v>
      </c>
      <c r="I105" s="7" t="str">
        <f t="shared" si="11"/>
        <v>5896</v>
      </c>
      <c r="J105" t="s">
        <v>502</v>
      </c>
      <c r="K105" t="s">
        <v>503</v>
      </c>
      <c r="L105" s="7" t="str">
        <f t="shared" si="12"/>
        <v>47446911</v>
      </c>
      <c r="M105" s="7" t="str">
        <f t="shared" si="13"/>
        <v>A</v>
      </c>
      <c r="N105" s="7" t="str">
        <f t="shared" si="14"/>
        <v>A</v>
      </c>
      <c r="O105" s="7" t="str">
        <f t="shared" si="15"/>
        <v>47446911-A</v>
      </c>
    </row>
    <row r="106" spans="1:15" x14ac:dyDescent="0.25">
      <c r="A106">
        <v>1354</v>
      </c>
      <c r="B106" t="s">
        <v>504</v>
      </c>
      <c r="C106" t="s">
        <v>476</v>
      </c>
      <c r="D106" t="s">
        <v>125</v>
      </c>
      <c r="E106" s="1" t="s">
        <v>505</v>
      </c>
      <c r="F106" s="5" t="str">
        <f t="shared" si="8"/>
        <v>0038</v>
      </c>
      <c r="G106" t="str">
        <f t="shared" si="9"/>
        <v>0036987446</v>
      </c>
      <c r="H106" t="str">
        <f t="shared" si="10"/>
        <v>02</v>
      </c>
      <c r="I106" s="7" t="str">
        <f t="shared" si="11"/>
        <v>0012</v>
      </c>
      <c r="J106" t="s">
        <v>506</v>
      </c>
      <c r="K106" t="s">
        <v>507</v>
      </c>
      <c r="L106" s="7" t="str">
        <f t="shared" si="12"/>
        <v>02254831</v>
      </c>
      <c r="M106" s="7" t="str">
        <f t="shared" si="13"/>
        <v>R</v>
      </c>
      <c r="N106" s="7" t="str">
        <f t="shared" si="14"/>
        <v>R</v>
      </c>
      <c r="O106" s="7" t="str">
        <f t="shared" si="15"/>
        <v>02254831-R</v>
      </c>
    </row>
    <row r="107" spans="1:15" x14ac:dyDescent="0.25">
      <c r="A107">
        <v>1696</v>
      </c>
      <c r="B107" t="s">
        <v>508</v>
      </c>
      <c r="C107" t="s">
        <v>481</v>
      </c>
      <c r="D107" t="s">
        <v>285</v>
      </c>
      <c r="E107" s="1" t="s">
        <v>277</v>
      </c>
      <c r="F107" s="5" t="str">
        <f t="shared" si="8"/>
        <v>0099</v>
      </c>
      <c r="G107" t="str">
        <f t="shared" si="9"/>
        <v>7896541232</v>
      </c>
      <c r="H107" t="str">
        <f t="shared" si="10"/>
        <v>56</v>
      </c>
      <c r="I107" s="7" t="str">
        <f t="shared" si="11"/>
        <v>1234</v>
      </c>
      <c r="J107" t="s">
        <v>509</v>
      </c>
      <c r="K107" t="s">
        <v>510</v>
      </c>
      <c r="L107" s="7" t="str">
        <f t="shared" si="12"/>
        <v>56672452</v>
      </c>
      <c r="M107" s="7" t="str">
        <f t="shared" si="13"/>
        <v>T</v>
      </c>
      <c r="N107" s="7" t="str">
        <f t="shared" si="14"/>
        <v>T</v>
      </c>
      <c r="O107" s="7" t="str">
        <f t="shared" si="15"/>
        <v>56672452-T</v>
      </c>
    </row>
    <row r="108" spans="1:15" x14ac:dyDescent="0.25">
      <c r="A108">
        <v>1299</v>
      </c>
      <c r="B108" t="s">
        <v>511</v>
      </c>
      <c r="C108" t="s">
        <v>364</v>
      </c>
      <c r="D108" t="s">
        <v>290</v>
      </c>
      <c r="E108" s="1" t="s">
        <v>512</v>
      </c>
      <c r="F108" s="5" t="str">
        <f t="shared" si="8"/>
        <v>0121</v>
      </c>
      <c r="G108" t="str">
        <f t="shared" si="9"/>
        <v>1296036619</v>
      </c>
      <c r="H108" t="str">
        <f t="shared" si="10"/>
        <v>74</v>
      </c>
      <c r="I108" s="7" t="str">
        <f t="shared" si="11"/>
        <v>5896</v>
      </c>
      <c r="J108" t="s">
        <v>513</v>
      </c>
      <c r="K108" t="s">
        <v>514</v>
      </c>
      <c r="L108" s="7" t="str">
        <f t="shared" si="12"/>
        <v>62675210</v>
      </c>
      <c r="M108" s="7" t="str">
        <f t="shared" si="13"/>
        <v>U</v>
      </c>
      <c r="N108" s="7" t="str">
        <f t="shared" si="14"/>
        <v>U</v>
      </c>
      <c r="O108" s="7" t="str">
        <f t="shared" si="15"/>
        <v>62675210-U</v>
      </c>
    </row>
    <row r="109" spans="1:15" x14ac:dyDescent="0.25">
      <c r="A109">
        <v>1529</v>
      </c>
      <c r="B109" t="s">
        <v>515</v>
      </c>
      <c r="C109" t="s">
        <v>374</v>
      </c>
      <c r="D109" t="s">
        <v>295</v>
      </c>
      <c r="E109" s="1" t="s">
        <v>516</v>
      </c>
      <c r="F109" s="5" t="str">
        <f t="shared" si="8"/>
        <v>0235</v>
      </c>
      <c r="G109" t="str">
        <f t="shared" si="9"/>
        <v>0036987447</v>
      </c>
      <c r="H109" t="str">
        <f t="shared" si="10"/>
        <v>02</v>
      </c>
      <c r="I109" s="7" t="str">
        <f t="shared" si="11"/>
        <v>0012</v>
      </c>
      <c r="J109" t="s">
        <v>517</v>
      </c>
      <c r="K109" t="s">
        <v>518</v>
      </c>
      <c r="L109" s="7" t="str">
        <f t="shared" si="12"/>
        <v>25929612</v>
      </c>
      <c r="M109" s="7" t="str">
        <f t="shared" si="13"/>
        <v>J</v>
      </c>
      <c r="N109" s="7" t="str">
        <f t="shared" si="14"/>
        <v>J</v>
      </c>
      <c r="O109" s="7" t="str">
        <f t="shared" si="15"/>
        <v>25929612-J</v>
      </c>
    </row>
    <row r="110" spans="1:15" x14ac:dyDescent="0.25">
      <c r="A110">
        <v>1080</v>
      </c>
      <c r="B110" t="s">
        <v>519</v>
      </c>
      <c r="C110" t="s">
        <v>492</v>
      </c>
      <c r="D110" t="s">
        <v>300</v>
      </c>
      <c r="E110" s="1" t="s">
        <v>305</v>
      </c>
      <c r="F110" s="5" t="str">
        <f t="shared" si="8"/>
        <v>0075</v>
      </c>
      <c r="G110" t="str">
        <f t="shared" si="9"/>
        <v>7896541232</v>
      </c>
      <c r="H110" t="str">
        <f t="shared" si="10"/>
        <v>56</v>
      </c>
      <c r="I110" s="7" t="str">
        <f t="shared" si="11"/>
        <v>1234</v>
      </c>
      <c r="J110" t="s">
        <v>520</v>
      </c>
      <c r="K110" t="s">
        <v>521</v>
      </c>
      <c r="L110" s="7" t="str">
        <f t="shared" si="12"/>
        <v>15360847</v>
      </c>
      <c r="M110" s="7" t="str">
        <f t="shared" si="13"/>
        <v>N</v>
      </c>
      <c r="N110" s="7" t="str">
        <f t="shared" si="14"/>
        <v>N</v>
      </c>
      <c r="O110" s="7" t="str">
        <f t="shared" si="15"/>
        <v>15360847-N</v>
      </c>
    </row>
    <row r="111" spans="1:15" x14ac:dyDescent="0.25">
      <c r="A111">
        <v>1353</v>
      </c>
      <c r="B111" t="s">
        <v>522</v>
      </c>
      <c r="C111" t="s">
        <v>497</v>
      </c>
      <c r="D111" t="s">
        <v>183</v>
      </c>
      <c r="E111" s="1" t="s">
        <v>523</v>
      </c>
      <c r="F111" s="5" t="str">
        <f t="shared" si="8"/>
        <v>0238</v>
      </c>
      <c r="G111" t="str">
        <f t="shared" si="9"/>
        <v>1296036620</v>
      </c>
      <c r="H111" t="str">
        <f t="shared" si="10"/>
        <v>74</v>
      </c>
      <c r="I111" s="7" t="str">
        <f t="shared" si="11"/>
        <v>5896</v>
      </c>
      <c r="J111" t="s">
        <v>524</v>
      </c>
      <c r="K111" t="s">
        <v>525</v>
      </c>
      <c r="L111" s="7" t="str">
        <f t="shared" si="12"/>
        <v>43085815</v>
      </c>
      <c r="M111" s="7" t="str">
        <f t="shared" si="13"/>
        <v>R</v>
      </c>
      <c r="N111" s="7" t="str">
        <f t="shared" si="14"/>
        <v>R</v>
      </c>
      <c r="O111" s="7" t="str">
        <f t="shared" si="15"/>
        <v>43085815-R</v>
      </c>
    </row>
    <row r="112" spans="1:15" x14ac:dyDescent="0.25">
      <c r="A112">
        <v>1369</v>
      </c>
      <c r="B112" t="s">
        <v>526</v>
      </c>
      <c r="C112" t="s">
        <v>342</v>
      </c>
      <c r="D112" t="s">
        <v>309</v>
      </c>
      <c r="E112" s="1" t="s">
        <v>527</v>
      </c>
      <c r="F112" s="5" t="str">
        <f t="shared" si="8"/>
        <v>0049</v>
      </c>
      <c r="G112" t="str">
        <f t="shared" si="9"/>
        <v>0036987448</v>
      </c>
      <c r="H112" t="str">
        <f t="shared" si="10"/>
        <v>02</v>
      </c>
      <c r="I112" s="7" t="str">
        <f t="shared" si="11"/>
        <v>0012</v>
      </c>
      <c r="J112" t="s">
        <v>528</v>
      </c>
      <c r="K112" t="s">
        <v>529</v>
      </c>
      <c r="L112" s="7" t="str">
        <f t="shared" si="12"/>
        <v>09201224</v>
      </c>
      <c r="M112" s="7" t="str">
        <f t="shared" si="13"/>
        <v>W</v>
      </c>
      <c r="N112" s="7" t="str">
        <f t="shared" si="14"/>
        <v>W</v>
      </c>
      <c r="O112" s="7" t="str">
        <f t="shared" si="15"/>
        <v>09201224-W</v>
      </c>
    </row>
    <row r="113" spans="1:15" x14ac:dyDescent="0.25">
      <c r="A113">
        <v>1370</v>
      </c>
      <c r="B113" t="s">
        <v>275</v>
      </c>
      <c r="C113" t="s">
        <v>89</v>
      </c>
      <c r="D113" t="s">
        <v>314</v>
      </c>
      <c r="E113" s="1" t="s">
        <v>320</v>
      </c>
      <c r="F113" s="5" t="str">
        <f t="shared" si="8"/>
        <v>0125</v>
      </c>
      <c r="G113" t="str">
        <f t="shared" si="9"/>
        <v>7896541232</v>
      </c>
      <c r="H113" t="str">
        <f t="shared" si="10"/>
        <v>56</v>
      </c>
      <c r="I113" s="7" t="str">
        <f t="shared" si="11"/>
        <v>1234</v>
      </c>
      <c r="J113" t="s">
        <v>530</v>
      </c>
      <c r="K113" t="s">
        <v>531</v>
      </c>
      <c r="L113" s="7" t="str">
        <f t="shared" si="12"/>
        <v>61772442</v>
      </c>
      <c r="M113" s="7" t="str">
        <f t="shared" si="13"/>
        <v>E</v>
      </c>
      <c r="N113" s="7" t="str">
        <f t="shared" si="14"/>
        <v>E</v>
      </c>
      <c r="O113" s="7" t="str">
        <f t="shared" si="15"/>
        <v>61772442-E</v>
      </c>
    </row>
    <row r="114" spans="1:15" x14ac:dyDescent="0.25">
      <c r="A114">
        <v>1677</v>
      </c>
      <c r="B114" t="s">
        <v>532</v>
      </c>
      <c r="C114" t="s">
        <v>533</v>
      </c>
      <c r="D114" t="s">
        <v>319</v>
      </c>
      <c r="E114" s="1" t="s">
        <v>534</v>
      </c>
      <c r="F114" s="5" t="str">
        <f t="shared" si="8"/>
        <v>0229</v>
      </c>
      <c r="G114" t="str">
        <f t="shared" si="9"/>
        <v>1296036621</v>
      </c>
      <c r="H114" t="str">
        <f t="shared" si="10"/>
        <v>74</v>
      </c>
      <c r="I114" s="7" t="str">
        <f t="shared" si="11"/>
        <v>5896</v>
      </c>
      <c r="J114" t="s">
        <v>535</v>
      </c>
      <c r="K114" t="s">
        <v>536</v>
      </c>
      <c r="L114" s="7" t="str">
        <f t="shared" si="12"/>
        <v>81999404</v>
      </c>
      <c r="M114" s="7" t="str">
        <f t="shared" si="13"/>
        <v>Q</v>
      </c>
      <c r="N114" s="7" t="str">
        <f t="shared" si="14"/>
        <v>Q</v>
      </c>
      <c r="O114" s="7" t="str">
        <f t="shared" si="15"/>
        <v>81999404-Q</v>
      </c>
    </row>
    <row r="115" spans="1:15" x14ac:dyDescent="0.25">
      <c r="A115">
        <v>1427</v>
      </c>
      <c r="B115" t="s">
        <v>532</v>
      </c>
      <c r="C115" t="s">
        <v>183</v>
      </c>
      <c r="D115" t="s">
        <v>324</v>
      </c>
      <c r="E115" s="1" t="s">
        <v>537</v>
      </c>
      <c r="F115" s="5" t="str">
        <f t="shared" si="8"/>
        <v>0038</v>
      </c>
      <c r="G115" t="str">
        <f t="shared" si="9"/>
        <v>0036987449</v>
      </c>
      <c r="H115" t="str">
        <f t="shared" si="10"/>
        <v>02</v>
      </c>
      <c r="I115" s="7" t="str">
        <f t="shared" si="11"/>
        <v>0012</v>
      </c>
      <c r="J115" t="s">
        <v>538</v>
      </c>
      <c r="K115" t="s">
        <v>539</v>
      </c>
      <c r="L115" s="7" t="str">
        <f t="shared" si="12"/>
        <v>34531817</v>
      </c>
      <c r="M115" s="7" t="str">
        <f t="shared" si="13"/>
        <v>f</v>
      </c>
      <c r="N115" s="7" t="str">
        <f t="shared" si="14"/>
        <v>F</v>
      </c>
      <c r="O115" s="7" t="str">
        <f t="shared" si="15"/>
        <v>34531817-F</v>
      </c>
    </row>
    <row r="116" spans="1:15" x14ac:dyDescent="0.25">
      <c r="E116" s="1"/>
    </row>
    <row r="117" spans="1:15" x14ac:dyDescent="0.25">
      <c r="E117" s="1"/>
    </row>
    <row r="118" spans="1:15" x14ac:dyDescent="0.25">
      <c r="E11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2017-03-22T09:39:34Z</dcterms:created>
  <dcterms:modified xsi:type="dcterms:W3CDTF">2026-05-06T08:02:09Z</dcterms:modified>
  <cp:category/>
  <cp:contentStatus/>
</cp:coreProperties>
</file>