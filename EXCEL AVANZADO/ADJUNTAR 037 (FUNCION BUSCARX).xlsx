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F3D530C9-D2AB-41F3-86C6-25C9865E97B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USCARX" sheetId="2" r:id="rId1"/>
    <sheet name="BUSCARX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G11" i="2"/>
  <c r="G8" i="2"/>
  <c r="G5" i="2"/>
  <c r="I4" i="2" a="1"/>
  <c r="I4" i="2" s="1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Manzano</author>
  </authors>
  <commentList>
    <comment ref="F8" authorId="0" shapeId="0" xr:uid="{8256F6B5-B81B-4B8F-BADF-CB132E8B10F0}">
      <text>
        <r>
          <rPr>
            <b/>
            <sz val="9"/>
            <color indexed="81"/>
            <rFont val="Tahoma"/>
            <family val="2"/>
          </rPr>
          <t>Buscar referencia que termina en 2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<sst xmlns="http://schemas.openxmlformats.org/spreadsheetml/2006/main" count="98" uniqueCount="25">
  <si>
    <t>REFERENCIA</t>
  </si>
  <si>
    <t>UBICACIÓN</t>
  </si>
  <si>
    <t>PRECIO</t>
  </si>
  <si>
    <t>MODELO</t>
  </si>
  <si>
    <t>C001</t>
  </si>
  <si>
    <t>PASILLO A</t>
  </si>
  <si>
    <t>C</t>
  </si>
  <si>
    <t>C002</t>
  </si>
  <si>
    <t>A</t>
  </si>
  <si>
    <t>C003</t>
  </si>
  <si>
    <t>B</t>
  </si>
  <si>
    <t>C004</t>
  </si>
  <si>
    <t>PASILLO B</t>
  </si>
  <si>
    <t>C005</t>
  </si>
  <si>
    <t>C006</t>
  </si>
  <si>
    <t>C007</t>
  </si>
  <si>
    <t>C008</t>
  </si>
  <si>
    <t>C009</t>
  </si>
  <si>
    <t>C010</t>
  </si>
  <si>
    <t>C011</t>
  </si>
  <si>
    <t>C012</t>
  </si>
  <si>
    <t>H020</t>
  </si>
  <si>
    <t>BUSCARX(valor_buscado;matriz_buscada;matriz_devuelta;[si_no_se_encuentra;[modo_de_coincidencia];[modo_de_búsqueda]</t>
  </si>
  <si>
    <t>Referencias</t>
  </si>
  <si>
    <t>&lt;--No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</si>
</sst>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44" fontId="0" fillId="2" borderId="0" xfId="1" applyFont="1" applyFill="1"/>
    <xf numFmtId="44" fontId="3" fillId="2" borderId="0" xfId="1" applyFont="1" applyFill="1"/>
    <xf numFmtId="0" fontId="0" fillId="2" borderId="0" xfId="0" applyFill="1"/>
    <xf numFmtId="0" fontId="3" fillId="0" borderId="0" xfId="0" applyFont="1"/>
    <xf numFmtId="0" fontId="3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G5" sqref="G5"/>
    </sheetView>
  </sheetViews>
  <sheetFormatPr baseColWidth="10" defaultColWidth="11.42578125" defaultRowHeight="15" x14ac:dyDescent="0.25"/>
  <cols>
    <col min="9" max="10" width="11.42578125" style="9"/>
  </cols>
  <sheetData>
    <row r="1" spans="1:10" ht="15.75" x14ac:dyDescent="0.25">
      <c r="A1" s="3" t="s">
        <v>1</v>
      </c>
      <c r="B1" s="3" t="s">
        <v>2</v>
      </c>
      <c r="C1" s="3" t="s">
        <v>0</v>
      </c>
      <c r="D1" s="3" t="s">
        <v>3</v>
      </c>
      <c r="F1" s="3" t="s">
        <v>0</v>
      </c>
      <c r="G1" s="4" t="s">
        <v>2</v>
      </c>
      <c r="I1" s="5" t="s">
        <v>22</v>
      </c>
    </row>
    <row r="2" spans="1:10" x14ac:dyDescent="0.25">
      <c r="A2" t="s">
        <v>5</v>
      </c>
      <c r="B2" s="1">
        <v>30.24</v>
      </c>
      <c r="C2" t="s">
        <v>4</v>
      </c>
      <c r="D2" s="2" t="s">
        <v>6</v>
      </c>
      <c r="F2" s="8" t="s">
        <v>9</v>
      </c>
      <c r="G2" s="7">
        <f>_xlfn.XLOOKUP(F2,C2:C13,B2:B13,"NO ENCONTRADO",,)</f>
        <v>58</v>
      </c>
    </row>
    <row r="3" spans="1:10" x14ac:dyDescent="0.25">
      <c r="A3" t="s">
        <v>5</v>
      </c>
      <c r="B3" s="1">
        <v>45.25</v>
      </c>
      <c r="C3" t="s">
        <v>7</v>
      </c>
      <c r="D3" s="2" t="s">
        <v>8</v>
      </c>
      <c r="I3" s="9" t="s">
        <v>23</v>
      </c>
    </row>
    <row r="4" spans="1:10" x14ac:dyDescent="0.25">
      <c r="A4" t="s">
        <v>5</v>
      </c>
      <c r="B4" s="1">
        <v>58</v>
      </c>
      <c r="C4" t="s">
        <v>9</v>
      </c>
      <c r="D4" s="2" t="s">
        <v>10</v>
      </c>
      <c r="F4" s="3" t="s">
        <v>0</v>
      </c>
      <c r="G4" s="4" t="s">
        <v>2</v>
      </c>
      <c r="I4" s="9" t="str" cm="1">
        <f t="array" ref="I4:I15">_xlfn._xlws.SORT(_xlfn.UNIQUE(C2:C13))</f>
        <v>C001</v>
      </c>
    </row>
    <row r="5" spans="1:10" x14ac:dyDescent="0.25">
      <c r="A5" t="s">
        <v>12</v>
      </c>
      <c r="B5" s="1">
        <v>75.900000000000006</v>
      </c>
      <c r="C5" t="s">
        <v>11</v>
      </c>
      <c r="D5" s="2" t="s">
        <v>6</v>
      </c>
      <c r="F5" s="8" t="s">
        <v>21</v>
      </c>
      <c r="G5" s="7" t="str">
        <f>_xlfn.XLOOKUP(F5,C2:C13,B2:B13,"NO ENCONTRADO",,)</f>
        <v>NO ENCONTRADO</v>
      </c>
      <c r="I5" s="9" t="str">
        <v>C002</v>
      </c>
    </row>
    <row r="6" spans="1:10" x14ac:dyDescent="0.25">
      <c r="A6" t="s">
        <v>12</v>
      </c>
      <c r="B6" s="1">
        <v>62</v>
      </c>
      <c r="C6" t="s">
        <v>13</v>
      </c>
      <c r="D6" s="2" t="s">
        <v>10</v>
      </c>
      <c r="I6" s="9" t="str">
        <v>C003</v>
      </c>
    </row>
    <row r="7" spans="1:10" x14ac:dyDescent="0.25">
      <c r="A7" t="s">
        <v>12</v>
      </c>
      <c r="B7" s="1">
        <v>53</v>
      </c>
      <c r="C7" t="s">
        <v>14</v>
      </c>
      <c r="D7" s="2" t="s">
        <v>10</v>
      </c>
      <c r="F7" s="3" t="s">
        <v>0</v>
      </c>
      <c r="G7" s="3" t="s">
        <v>2</v>
      </c>
      <c r="I7" s="9" t="str">
        <v>C004</v>
      </c>
    </row>
    <row r="8" spans="1:10" x14ac:dyDescent="0.25">
      <c r="A8" t="s">
        <v>12</v>
      </c>
      <c r="B8" s="1">
        <v>62.3</v>
      </c>
      <c r="C8" t="s">
        <v>15</v>
      </c>
      <c r="D8" s="2" t="s">
        <v>10</v>
      </c>
      <c r="F8" s="8">
        <v>2</v>
      </c>
      <c r="G8" s="7">
        <f>_xlfn.XLOOKUP(_xlfn.CONCAT("*",F8),C2:C13,B2:B13,,2,-1)</f>
        <v>10</v>
      </c>
      <c r="I8" s="9" t="str">
        <v>C005</v>
      </c>
    </row>
    <row r="9" spans="1:10" x14ac:dyDescent="0.25">
      <c r="A9" t="s">
        <v>12</v>
      </c>
      <c r="B9" s="1">
        <v>20</v>
      </c>
      <c r="C9" t="s">
        <v>16</v>
      </c>
      <c r="D9" s="2" t="s">
        <v>8</v>
      </c>
      <c r="I9" s="9" t="str">
        <v>C006</v>
      </c>
    </row>
    <row r="10" spans="1:10" x14ac:dyDescent="0.25">
      <c r="A10" t="s">
        <v>12</v>
      </c>
      <c r="B10" s="1">
        <v>128.25</v>
      </c>
      <c r="C10" t="s">
        <v>17</v>
      </c>
      <c r="D10" s="2" t="s">
        <v>8</v>
      </c>
      <c r="F10" s="3" t="s">
        <v>2</v>
      </c>
      <c r="G10" s="3" t="s">
        <v>0</v>
      </c>
      <c r="I10" s="9" t="str">
        <v>C007</v>
      </c>
    </row>
    <row r="11" spans="1:10" x14ac:dyDescent="0.25">
      <c r="A11" t="s">
        <v>5</v>
      </c>
      <c r="B11" s="1">
        <v>90.1</v>
      </c>
      <c r="C11" t="s">
        <v>18</v>
      </c>
      <c r="D11" s="2" t="s">
        <v>8</v>
      </c>
      <c r="F11" s="6">
        <v>100</v>
      </c>
      <c r="G11" s="10" t="str">
        <f>_xlfn.XLOOKUP(F11,B2:B13,C2:C13,"Error",-1,)</f>
        <v>C010</v>
      </c>
      <c r="I11" s="9" t="str">
        <v>C008</v>
      </c>
    </row>
    <row r="12" spans="1:10" x14ac:dyDescent="0.25">
      <c r="A12" t="s">
        <v>5</v>
      </c>
      <c r="B12" s="1">
        <v>40</v>
      </c>
      <c r="C12" t="s">
        <v>19</v>
      </c>
      <c r="D12" s="2" t="s">
        <v>6</v>
      </c>
      <c r="I12" s="9" t="str">
        <v>C009</v>
      </c>
    </row>
    <row r="13" spans="1:10" x14ac:dyDescent="0.25">
      <c r="A13" t="s">
        <v>5</v>
      </c>
      <c r="B13" s="1">
        <v>10</v>
      </c>
      <c r="C13" t="s">
        <v>20</v>
      </c>
      <c r="D13" s="2" t="s">
        <v>6</v>
      </c>
      <c r="I13" s="9" t="str">
        <v>C010</v>
      </c>
    </row>
    <row r="14" spans="1:10" x14ac:dyDescent="0.25">
      <c r="I14" s="9" t="str">
        <v>C011</v>
      </c>
    </row>
    <row r="15" spans="1:10" x14ac:dyDescent="0.25">
      <c r="I15" s="9" t="str">
        <v>C012</v>
      </c>
    </row>
    <row r="16" spans="1:10" x14ac:dyDescent="0.25">
      <c r="I16" s="9" t="s">
        <v>21</v>
      </c>
      <c r="J16" s="9" t="s">
        <v>24</v>
      </c>
    </row>
  </sheetData>
  <dataValidations disablePrompts="1" count="2">
    <dataValidation type="list" allowBlank="1" showInputMessage="1" showErrorMessage="1" sqref="F2" xr:uid="{DBB120F2-EA27-408B-AD8E-8061D4FE1768}">
      <formula1>$I$4:$I$15</formula1>
    </dataValidation>
    <dataValidation type="list" allowBlank="1" showInputMessage="1" showErrorMessage="1" sqref="F5" xr:uid="{41840010-2227-42E6-803C-A017A242ECDF}">
      <formula1>$I$4:$I$16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F928-087D-44AD-B082-D2F10EC96CFE}">
  <dimension ref="A1:M9"/>
  <sheetViews>
    <sheetView tabSelected="1" workbookViewId="0">
      <selection activeCell="B7" sqref="B7"/>
    </sheetView>
  </sheetViews>
  <sheetFormatPr baseColWidth="10" defaultRowHeight="15" x14ac:dyDescent="0.25"/>
  <cols>
    <col min="1" max="1" width="11.28515625" bestFit="1" customWidth="1"/>
    <col min="2" max="13" width="9.28515625" bestFit="1" customWidth="1"/>
  </cols>
  <sheetData>
    <row r="1" spans="1:13" x14ac:dyDescent="0.25">
      <c r="A1" s="4" t="s">
        <v>1</v>
      </c>
      <c r="B1" t="s">
        <v>5</v>
      </c>
      <c r="C1" t="s">
        <v>5</v>
      </c>
      <c r="D1" t="s">
        <v>5</v>
      </c>
      <c r="E1" t="s">
        <v>12</v>
      </c>
      <c r="F1" t="s">
        <v>12</v>
      </c>
      <c r="G1" t="s">
        <v>12</v>
      </c>
      <c r="H1" t="s">
        <v>12</v>
      </c>
      <c r="I1" t="s">
        <v>12</v>
      </c>
      <c r="J1" t="s">
        <v>12</v>
      </c>
      <c r="K1" t="s">
        <v>5</v>
      </c>
      <c r="L1" t="s">
        <v>5</v>
      </c>
      <c r="M1" t="s">
        <v>5</v>
      </c>
    </row>
    <row r="2" spans="1:13" x14ac:dyDescent="0.25">
      <c r="A2" s="4" t="s">
        <v>2</v>
      </c>
      <c r="B2" s="1">
        <v>30.24</v>
      </c>
      <c r="C2" s="1">
        <v>45.25</v>
      </c>
      <c r="D2" s="1">
        <v>58</v>
      </c>
      <c r="E2" s="1">
        <v>75.900000000000006</v>
      </c>
      <c r="F2" s="1">
        <v>62</v>
      </c>
      <c r="G2" s="1">
        <v>53</v>
      </c>
      <c r="H2" s="1">
        <v>62.3</v>
      </c>
      <c r="I2" s="1">
        <v>20</v>
      </c>
      <c r="J2" s="1">
        <v>128.25</v>
      </c>
      <c r="K2" s="1">
        <v>90.1</v>
      </c>
      <c r="L2" s="1">
        <v>40</v>
      </c>
      <c r="M2" s="1">
        <v>10</v>
      </c>
    </row>
    <row r="3" spans="1:13" x14ac:dyDescent="0.25">
      <c r="A3" s="4" t="s">
        <v>0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25">
      <c r="A4" s="4" t="s">
        <v>3</v>
      </c>
      <c r="B4" s="2" t="s">
        <v>6</v>
      </c>
      <c r="C4" s="2" t="s">
        <v>8</v>
      </c>
      <c r="D4" s="2" t="s">
        <v>10</v>
      </c>
      <c r="E4" s="2" t="s">
        <v>6</v>
      </c>
      <c r="F4" s="2" t="s">
        <v>10</v>
      </c>
      <c r="G4" s="2" t="s">
        <v>10</v>
      </c>
      <c r="H4" s="2" t="s">
        <v>10</v>
      </c>
      <c r="I4" s="2" t="s">
        <v>8</v>
      </c>
      <c r="J4" s="2" t="s">
        <v>8</v>
      </c>
      <c r="K4" s="2" t="s">
        <v>8</v>
      </c>
      <c r="L4" s="2" t="s">
        <v>6</v>
      </c>
      <c r="M4" s="2" t="s">
        <v>6</v>
      </c>
    </row>
    <row r="7" spans="1:13" x14ac:dyDescent="0.25">
      <c r="A7" s="3" t="s">
        <v>0</v>
      </c>
      <c r="B7" s="10" t="s">
        <v>7</v>
      </c>
    </row>
    <row r="8" spans="1:13" x14ac:dyDescent="0.25">
      <c r="A8" s="4" t="s">
        <v>2</v>
      </c>
      <c r="B8" s="7">
        <f>_xlfn.XLOOKUP(B7,B3:M3,B2:M2,"Error no encontrada",,)</f>
        <v>45.25</v>
      </c>
    </row>
    <row r="9" spans="1:13" x14ac:dyDescent="0.25">
      <c r="A9" t="s">
        <v>1</v>
      </c>
      <c r="B9" s="10" t="str">
        <f>_xlfn.XLOOKUP(B7,B3:M3,B1:M1,"Error no encontrada",,)</f>
        <v>PASILLO A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69FFA9-C3FC-4A2B-9ABC-24B992AEF123}">
          <x14:formula1>
            <xm:f>BUSCARX!$I$4:$I$16</xm:f>
          </x14:formula1>
          <xm:sqref>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BUSCARX</vt:lpstr>
      <vt:lpstr>BUSCARX2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2015-03-03T05:34:07Z</dcterms:created>
  <dcterms:modified xsi:type="dcterms:W3CDTF">2026-05-19T08:47:17Z</dcterms:modified>
  <cp:category/>
  <cp:contentStatus/>
</cp:coreProperties>
</file>