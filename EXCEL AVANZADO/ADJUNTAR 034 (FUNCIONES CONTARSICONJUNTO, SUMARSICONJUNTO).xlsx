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F5214D3F-F47B-4FA2-B5FC-5A4083C4D8AB}" xr6:coauthVersionLast="47" xr6:coauthVersionMax="47" xr10:uidLastSave="{00000000-0000-0000-0000-000000000000}"/>
  <bookViews>
    <workbookView xWindow="-120" yWindow="-120" windowWidth="20730" windowHeight="11160" activeTab="1" xr2:uid="{89E999AA-6E4B-4B8D-BDAC-782C14CC87BB}"/>
  </bookViews>
  <sheets>
    <sheet name="FACTURAS" sheetId="1" r:id="rId1"/>
    <sheet name="FUNCIONES CONJUNTO" sheetId="2" r:id="rId2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4" i="2"/>
  <c r="B5" i="2"/>
  <c r="B6" i="2"/>
  <c r="B7" i="2"/>
  <c r="B8" i="2"/>
  <c r="B9" i="2"/>
  <c r="B10" i="2"/>
  <c r="B11" i="2"/>
  <c r="B12" i="2"/>
  <c r="B13" i="2"/>
  <c r="B4" i="2"/>
</calcChain>
</file>

<file path=xl/sharedStrings.xml><?xml version="1.0" encoding="utf-8"?>
<sst xmlns="http://schemas.openxmlformats.org/spreadsheetml/2006/main" count="3134" uniqueCount="33">
  <si>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</si>
  <si>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</si>
  <si>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</si>
  <si>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</si>
  <si>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</si>
  <si>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</si>
  <si>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</si>
  <si>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</si>
  <si>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</si>
  <si>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</si>
  <si>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</si>
  <si>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</si>
  <si>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</si>
  <si>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</si>
  <si>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</si>
  <si>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</si>
  <si>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</si>
  <si>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</si>
  <si>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</si>
  <si>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</si>
  <si>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</si>
  <si>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</si>
  <si>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</si>
  <si>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</si>
  <si>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</si>
  <si>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</si>
  <si>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</si>
  <si>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</si>
  <si>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CLIENTES</t>
  </si>
  <si>
    <t>CONTAR.SI.CONJUNTO</t>
  </si>
  <si>
    <t>SUMAR.SI.CONJUNTO</t>
  </si>
  <si>
    <t>CONTAR.SI.CONJUNTO(rango_criterios1;criterio1;…)</t>
  </si>
  <si>
    <t>SUMAR.SI.CONJUNTO(rango_suma;rango_criterios1;criterio1;…)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</si>
</sst>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C10" sqref="C10"/>
    </sheetView>
  </sheetViews>
  <sheetFormatPr baseColWidth="10" defaultColWidth="11.42578125" defaultRowHeight="12.75" x14ac:dyDescent="0.2"/>
  <cols>
    <col min="1" max="1" width="22.85546875" bestFit="1" customWidth="1"/>
    <col min="2" max="2" width="14.7109375" bestFit="1" customWidth="1"/>
    <col min="3" max="3" width="13.85546875" bestFit="1" customWidth="1"/>
    <col min="4" max="4" width="13.7109375" customWidth="1"/>
    <col min="5" max="5" width="19.42578125" customWidth="1"/>
    <col min="6" max="6" width="21" bestFit="1" customWidth="1"/>
    <col min="7" max="7" width="13.140625" bestFit="1" customWidth="1"/>
    <col min="8" max="8" width="3.2851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2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2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2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2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2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2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2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2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2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2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2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2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2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2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2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2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2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2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2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2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2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2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2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2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2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2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2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2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2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2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2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2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2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2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2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2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2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2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2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2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2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2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2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2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2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2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2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2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2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2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2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2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2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2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2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2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2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2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2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2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2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2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2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2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2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2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2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2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2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2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2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2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2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2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2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2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2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2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2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2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2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2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2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2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2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2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2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2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2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2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2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2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2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2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2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2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2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2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2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2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2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2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2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2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2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2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2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2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2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2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2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2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2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2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2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2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2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2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2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2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2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2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2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2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2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2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2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2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2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2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2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2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2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2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2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2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2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2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2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2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2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2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2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2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2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2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2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2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2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2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2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2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2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2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2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2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2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2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2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2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2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2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2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2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2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2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2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2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2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2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2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2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2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2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2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2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2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2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2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2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2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2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2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2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2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2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2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2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2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2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2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2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2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2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2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2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2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2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2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2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2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2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2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2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2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2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2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2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2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2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2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2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2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2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2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2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2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2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2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2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2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2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2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2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2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2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2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2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2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2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2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2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2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2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2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2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2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2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2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2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2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2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2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2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2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2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2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2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2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2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2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2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2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2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2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2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2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2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2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2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2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2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2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2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2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2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2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2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2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2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2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2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2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2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2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2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2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2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2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2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2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2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2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2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2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2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2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2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2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2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2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2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2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2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2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2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2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2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2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2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2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2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2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2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2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2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2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2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2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2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2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2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2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2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2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2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2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2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2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2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2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2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2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2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2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2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2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2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2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2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2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2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2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2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2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2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2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2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2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2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2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2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2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2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2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2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2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2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2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2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2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2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2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2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2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2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2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2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2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2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2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2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2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2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2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2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2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2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2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2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2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2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2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2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2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2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2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2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2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2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2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2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2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2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2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2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2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2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2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2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2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2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2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2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2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2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2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2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2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2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2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2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2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2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2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2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2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2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2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2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2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2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2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2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2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2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2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2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2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2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2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2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2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2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2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2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2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2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2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2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2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2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2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2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2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2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2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2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2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2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2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2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2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2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2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2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2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2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2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2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2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2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2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2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2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2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2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2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2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2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2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2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2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2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2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2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2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2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2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2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2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2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2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2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2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2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2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2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2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2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2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2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2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2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2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2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2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2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2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2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2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2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2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2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2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2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2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2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2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2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2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2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2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2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2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2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2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2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2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2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2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2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2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2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2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2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2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2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2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2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2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2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2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2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2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2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2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2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2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2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2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2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2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2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2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2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2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2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2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2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2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2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2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2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2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2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2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2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2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2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2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2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2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2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2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2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2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2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2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2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2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2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2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2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2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2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2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2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2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2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2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2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2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2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2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2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2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2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2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2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2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2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2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2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2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2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2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2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2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2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2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2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2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2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2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2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2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2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2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2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2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2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2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2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2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2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2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2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2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2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2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2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2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2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2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2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2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2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2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2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2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2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2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2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2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2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2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2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2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2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2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2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2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2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2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2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2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2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2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2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2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2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2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2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2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2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2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2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2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2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2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2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2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2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2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2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2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2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2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2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2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2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2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2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2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2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2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2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2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2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2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2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2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2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2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2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2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2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2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2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2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2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2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2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2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2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2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2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2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2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2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2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2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2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2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2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2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2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2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2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2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2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2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2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2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2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2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2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2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2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2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2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2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2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2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2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2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2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2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2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2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2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2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2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2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2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2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2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2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2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2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2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2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2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2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2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2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2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2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2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2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2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2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2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2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2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2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2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2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2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2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2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2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2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2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2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2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2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2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2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2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2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2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2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2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2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2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2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2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2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2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2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2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2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2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2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2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8252-B8AC-48A0-9CFA-18D044327A11}">
  <dimension ref="A1:G13"/>
  <sheetViews>
    <sheetView tabSelected="1" workbookViewId="0">
      <selection activeCell="C2" activeCellId="1" sqref="B2 C2"/>
    </sheetView>
  </sheetViews>
  <sheetFormatPr baseColWidth="10" defaultRowHeight="12.75" x14ac:dyDescent="0.2"/>
  <cols>
    <col min="1" max="1" width="13.28515625" bestFit="1" customWidth="1"/>
    <col min="2" max="2" width="56.5703125" bestFit="1" customWidth="1"/>
    <col min="3" max="3" width="20" bestFit="1" customWidth="1"/>
  </cols>
  <sheetData>
    <row r="1" spans="1:7" x14ac:dyDescent="0.2">
      <c r="B1" s="5"/>
      <c r="C1" s="5"/>
      <c r="D1" s="5"/>
      <c r="E1" s="5"/>
      <c r="F1" s="5"/>
      <c r="G1" s="5"/>
    </row>
    <row r="2" spans="1:7" ht="15" x14ac:dyDescent="0.2">
      <c r="B2" s="6" t="s">
        <v>31</v>
      </c>
      <c r="C2" s="6" t="s">
        <v>32</v>
      </c>
      <c r="D2" s="5"/>
      <c r="E2" s="5"/>
      <c r="F2" s="5"/>
      <c r="G2" s="5"/>
    </row>
    <row r="3" spans="1:7" x14ac:dyDescent="0.2">
      <c r="A3" t="s">
        <v>28</v>
      </c>
      <c r="B3" s="5" t="s">
        <v>29</v>
      </c>
      <c r="C3" s="5" t="s">
        <v>30</v>
      </c>
      <c r="D3" s="5"/>
      <c r="E3" s="5"/>
      <c r="F3" s="5"/>
      <c r="G3" s="5"/>
    </row>
    <row r="4" spans="1:7" x14ac:dyDescent="0.2">
      <c r="A4" t="s">
        <v>25</v>
      </c>
      <c r="B4" s="5">
        <f>COUNTIFS(T_FACTURAS[CLIENTE],A4,T_FACTURAS[IMPORTE],"&gt;1000")</f>
        <v>35</v>
      </c>
      <c r="C4" s="5">
        <f>SUMIFS(T_FACTURAS[IMPORTE],T_FACTURAS[CONCEPTO],"DESARROLLO",T_FACTURAS[CLIENTE],A4)</f>
        <v>21950</v>
      </c>
      <c r="D4" s="5"/>
      <c r="E4" s="5"/>
      <c r="F4" s="5"/>
      <c r="G4" s="5"/>
    </row>
    <row r="5" spans="1:7" x14ac:dyDescent="0.2">
      <c r="A5" t="s">
        <v>27</v>
      </c>
      <c r="B5" s="5">
        <f>COUNTIFS(T_FACTURAS[CLIENTE],A5,T_FACTURAS[IMPORTE],"&gt;1000")</f>
        <v>13</v>
      </c>
      <c r="C5" s="5">
        <f>SUMIFS(T_FACTURAS[IMPORTE],T_FACTURAS[CONCEPTO],"DESARROLLO",T_FACTURAS[CLIENTE],A5)</f>
        <v>12500</v>
      </c>
      <c r="D5" s="5"/>
      <c r="E5" s="5"/>
      <c r="F5" s="5"/>
      <c r="G5" s="5"/>
    </row>
    <row r="6" spans="1:7" x14ac:dyDescent="0.2">
      <c r="A6" t="s">
        <v>19</v>
      </c>
      <c r="B6" s="5">
        <f>COUNTIFS(T_FACTURAS[CLIENTE],A6,T_FACTURAS[IMPORTE],"&gt;1000")</f>
        <v>9</v>
      </c>
      <c r="C6" s="5">
        <f>SUMIFS(T_FACTURAS[IMPORTE],T_FACTURAS[CONCEPTO],"DESARROLLO",T_FACTURAS[CLIENTE],A6)</f>
        <v>3200</v>
      </c>
      <c r="D6" s="5"/>
      <c r="E6" s="5"/>
      <c r="F6" s="5"/>
      <c r="G6" s="5"/>
    </row>
    <row r="7" spans="1:7" x14ac:dyDescent="0.2">
      <c r="A7" t="s">
        <v>8</v>
      </c>
      <c r="B7" s="5">
        <f>COUNTIFS(T_FACTURAS[CLIENTE],A7,T_FACTURAS[IMPORTE],"&gt;1000")</f>
        <v>16</v>
      </c>
      <c r="C7" s="5">
        <f>SUMIFS(T_FACTURAS[IMPORTE],T_FACTURAS[CONCEPTO],"DESARROLLO",T_FACTURAS[CLIENTE],A7)</f>
        <v>15020</v>
      </c>
      <c r="D7" s="5"/>
      <c r="E7" s="5"/>
      <c r="F7" s="5"/>
      <c r="G7" s="5"/>
    </row>
    <row r="8" spans="1:7" x14ac:dyDescent="0.2">
      <c r="A8" t="s">
        <v>12</v>
      </c>
      <c r="B8" s="5">
        <f>COUNTIFS(T_FACTURAS[CLIENTE],A8,T_FACTURAS[IMPORTE],"&gt;1000")</f>
        <v>27</v>
      </c>
      <c r="C8" s="5">
        <f>SUMIFS(T_FACTURAS[IMPORTE],T_FACTURAS[CONCEPTO],"DESARROLLO",T_FACTURAS[CLIENTE],A8)</f>
        <v>43270</v>
      </c>
      <c r="D8" s="5"/>
      <c r="E8" s="5"/>
      <c r="F8" s="5"/>
      <c r="G8" s="5"/>
    </row>
    <row r="9" spans="1:7" x14ac:dyDescent="0.2">
      <c r="A9" t="s">
        <v>15</v>
      </c>
      <c r="B9" s="5">
        <f>COUNTIFS(T_FACTURAS[CLIENTE],A9,T_FACTURAS[IMPORTE],"&gt;1000")</f>
        <v>18</v>
      </c>
      <c r="C9" s="5">
        <f>SUMIFS(T_FACTURAS[IMPORTE],T_FACTURAS[CONCEPTO],"DESARROLLO",T_FACTURAS[CLIENTE],A9)</f>
        <v>8580</v>
      </c>
      <c r="D9" s="5"/>
      <c r="E9" s="5"/>
      <c r="F9" s="5"/>
      <c r="G9" s="5"/>
    </row>
    <row r="10" spans="1:7" x14ac:dyDescent="0.2">
      <c r="A10" t="s">
        <v>17</v>
      </c>
      <c r="B10" s="5">
        <f>COUNTIFS(T_FACTURAS[CLIENTE],A10,T_FACTURAS[IMPORTE],"&gt;1000")</f>
        <v>22</v>
      </c>
      <c r="C10" s="5">
        <f>SUMIFS(T_FACTURAS[IMPORTE],T_FACTURAS[CONCEPTO],"DESARROLLO",T_FACTURAS[CLIENTE],A10)</f>
        <v>28850</v>
      </c>
      <c r="D10" s="5"/>
      <c r="E10" s="5"/>
      <c r="F10" s="5"/>
      <c r="G10" s="5"/>
    </row>
    <row r="11" spans="1:7" x14ac:dyDescent="0.2">
      <c r="A11" t="s">
        <v>21</v>
      </c>
      <c r="B11" s="5">
        <f>COUNTIFS(T_FACTURAS[CLIENTE],A11,T_FACTURAS[IMPORTE],"&gt;1000")</f>
        <v>22</v>
      </c>
      <c r="C11" s="5">
        <f>SUMIFS(T_FACTURAS[IMPORTE],T_FACTURAS[CONCEPTO],"DESARROLLO",T_FACTURAS[CLIENTE],A11)</f>
        <v>13700</v>
      </c>
      <c r="D11" s="5"/>
      <c r="E11" s="5"/>
      <c r="F11" s="5"/>
      <c r="G11" s="5"/>
    </row>
    <row r="12" spans="1:7" x14ac:dyDescent="0.2">
      <c r="A12" t="s">
        <v>23</v>
      </c>
      <c r="B12" s="5">
        <f>COUNTIFS(T_FACTURAS[CLIENTE],A12,T_FACTURAS[IMPORTE],"&gt;1000")</f>
        <v>27</v>
      </c>
      <c r="C12" s="5">
        <f>SUMIFS(T_FACTURAS[IMPORTE],T_FACTURAS[CONCEPTO],"DESARROLLO",T_FACTURAS[CLIENTE],A12)</f>
        <v>13940</v>
      </c>
      <c r="D12" s="5"/>
      <c r="E12" s="5"/>
      <c r="F12" s="5"/>
      <c r="G12" s="5"/>
    </row>
    <row r="13" spans="1:7" x14ac:dyDescent="0.2">
      <c r="A13" t="s">
        <v>24</v>
      </c>
      <c r="B13" s="5">
        <f>COUNTIFS(T_FACTURAS[CLIENTE],A13,T_FACTURAS[IMPORTE],"&gt;1000")</f>
        <v>39</v>
      </c>
      <c r="C13" s="5">
        <f>SUMIFS(T_FACTURAS[IMPORTE],T_FACTURAS[CONCEPTO],"DESARROLLO",T_FACTURAS[CLIENTE],A13)</f>
        <v>67100</v>
      </c>
      <c r="D13" s="5"/>
      <c r="E13" s="5"/>
      <c r="F13" s="5"/>
      <c r="G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FUNCIONES CONJUNTO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2025-03-16T16:12:42Z</dcterms:created>
  <dcterms:modified xsi:type="dcterms:W3CDTF">2026-05-18T09:07:26Z</dcterms:modified>
</cp:coreProperties>
</file>