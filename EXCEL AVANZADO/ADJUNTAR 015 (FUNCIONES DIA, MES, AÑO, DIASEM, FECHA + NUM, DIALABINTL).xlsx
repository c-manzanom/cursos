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9B46D558-F4A7-4873-B7D7-E49562CD86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3" i="1"/>
  <c r="J4" i="1"/>
  <c r="J5" i="1"/>
  <c r="J6" i="1"/>
  <c r="J7" i="1"/>
  <c r="J8" i="1"/>
  <c r="J9" i="1"/>
  <c r="J3" i="1"/>
  <c r="H4" i="1"/>
  <c r="H5" i="1"/>
  <c r="H6" i="1"/>
  <c r="H7" i="1"/>
  <c r="H8" i="1"/>
  <c r="H9" i="1"/>
  <c r="H3" i="1"/>
  <c r="F9" i="1"/>
  <c r="G9" i="1" s="1"/>
  <c r="G4" i="1"/>
  <c r="G5" i="1"/>
  <c r="G6" i="1"/>
  <c r="G7" i="1"/>
  <c r="G8" i="1"/>
  <c r="G3" i="1"/>
  <c r="F4" i="1"/>
  <c r="F5" i="1"/>
  <c r="F6" i="1"/>
  <c r="F7" i="1"/>
  <c r="F8" i="1"/>
  <c r="F3" i="1"/>
  <c r="E4" i="1"/>
  <c r="E5" i="1"/>
  <c r="E6" i="1"/>
  <c r="E7" i="1"/>
  <c r="E8" i="1"/>
  <c r="E9" i="1"/>
  <c r="E3" i="1"/>
  <c r="D4" i="1"/>
  <c r="D5" i="1"/>
  <c r="D6" i="1"/>
  <c r="D7" i="1"/>
  <c r="D8" i="1"/>
  <c r="D9" i="1"/>
  <c r="D3" i="1"/>
  <c r="C4" i="1"/>
  <c r="C5" i="1"/>
  <c r="C6" i="1"/>
  <c r="C7" i="1"/>
  <c r="C8" i="1"/>
  <c r="C9" i="1"/>
  <c r="C3" i="1"/>
</calcChain>
</file>

<file path=xl/sharedStrings.xml><?xml version="1.0" encoding="utf-8"?>
<sst xmlns="http://schemas.openxmlformats.org/spreadsheetml/2006/main" count="23" uniqueCount="21">
  <si>
    <t>EMPLEADO</t>
  </si>
  <si>
    <t>FECHA INCORPORACION</t>
  </si>
  <si>
    <t>EMP001</t>
  </si>
  <si>
    <t>EMP002</t>
  </si>
  <si>
    <t>EMP003</t>
  </si>
  <si>
    <t>EMP004</t>
  </si>
  <si>
    <t>EMP005</t>
  </si>
  <si>
    <t>EMP006</t>
  </si>
  <si>
    <t>EMP007</t>
  </si>
  <si>
    <t>DIA</t>
  </si>
  <si>
    <t>DIA(Núm_de_serie) </t>
  </si>
  <si>
    <t>MES</t>
  </si>
  <si>
    <t>MES(Núm_de_serie) </t>
  </si>
  <si>
    <t>AÑO(Núm_de_serie) </t>
  </si>
  <si>
    <t>AÑO</t>
  </si>
  <si>
    <t>DIASEM(núm_de_serie;[tipo]) </t>
  </si>
  <si>
    <t>YO</t>
  </si>
  <si>
    <t>FECHA +90 días</t>
  </si>
  <si>
    <t>DIA.LAB.INTL(fecha_inicial;días;[fin_de_semana];[días_no_laborables]) </t>
  </si>
  <si>
    <r>
      <t>DIA.LAB</t>
    </r>
    <r>
      <rPr>
        <sz val="12"/>
        <color theme="1"/>
        <rFont val="Arial"/>
        <family val="2"/>
      </rPr>
      <t xml:space="preserve"> (Singular) = Devuelve una </t>
    </r>
    <r>
      <rPr>
        <sz val="12"/>
        <color theme="1"/>
        <rFont val="Arial"/>
        <family val="2"/>
      </rPr>
      <t>fecha</t>
    </r>
    <r>
      <rPr>
        <sz val="12"/>
        <color theme="1"/>
        <rFont val="Arial"/>
        <family val="2"/>
      </rPr>
      <t xml:space="preserve"> (la meta).</t>
    </r>
  </si>
  <si>
    <r>
      <t>DIAS.LAB</t>
    </r>
    <r>
      <rPr>
        <sz val="12"/>
        <color theme="1"/>
        <rFont val="Arial"/>
        <family val="2"/>
      </rPr>
      <t xml:space="preserve"> (Plural) = Devuelve un </t>
    </r>
    <r>
      <rPr>
        <sz val="12"/>
        <color theme="1"/>
        <rFont val="Arial"/>
        <family val="2"/>
      </rPr>
      <t>número</t>
    </r>
    <r>
      <rPr>
        <sz val="12"/>
        <color theme="1"/>
        <rFont val="Arial"/>
        <family val="2"/>
      </rPr>
      <t xml:space="preserve"> (la cantidad).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</si>
</sst>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14" fontId="0" fillId="0" borderId="0" xfId="0" applyNumberFormat="1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F1" workbookViewId="0">
      <selection activeCell="G3" sqref="G3"/>
    </sheetView>
  </sheetViews>
  <sheetFormatPr baseColWidth="10" defaultColWidth="11.42578125" defaultRowHeight="15" x14ac:dyDescent="0.25"/>
  <cols>
    <col min="1" max="1" width="10.7109375" bestFit="1" customWidth="1"/>
    <col min="2" max="2" width="16.42578125" bestFit="1" customWidth="1"/>
    <col min="3" max="3" width="22" bestFit="1" customWidth="1"/>
    <col min="4" max="4" width="23.28515625" bestFit="1" customWidth="1"/>
    <col min="5" max="5" width="23.140625" bestFit="1" customWidth="1"/>
    <col min="10" max="10" width="74.42578125" bestFit="1" customWidth="1"/>
    <col min="11" max="11" width="58.28515625" style="8" bestFit="1" customWidth="1"/>
  </cols>
  <sheetData>
    <row r="1" spans="1:11" ht="30.75" customHeight="1" x14ac:dyDescent="0.25">
      <c r="C1" s="4" t="s">
        <v>10</v>
      </c>
      <c r="D1" s="4" t="s">
        <v>12</v>
      </c>
      <c r="E1" s="4" t="s">
        <v>13</v>
      </c>
      <c r="F1" s="4" t="s">
        <v>15</v>
      </c>
      <c r="G1" s="4" t="s">
        <v>16</v>
      </c>
      <c r="H1" s="4" t="s">
        <v>17</v>
      </c>
      <c r="J1" s="3" t="s">
        <v>18</v>
      </c>
      <c r="K1" s="7" t="s">
        <v>19</v>
      </c>
    </row>
    <row r="2" spans="1:11" ht="30" x14ac:dyDescent="0.25">
      <c r="A2" s="1" t="s">
        <v>0</v>
      </c>
      <c r="B2" s="1" t="s">
        <v>1</v>
      </c>
      <c r="C2" s="5" t="s">
        <v>9</v>
      </c>
      <c r="D2" s="5" t="s">
        <v>11</v>
      </c>
      <c r="E2" s="5" t="s">
        <v>14</v>
      </c>
      <c r="F2" s="5" t="s">
        <v>9</v>
      </c>
      <c r="H2" s="5" t="s">
        <v>17</v>
      </c>
      <c r="K2" s="7" t="s">
        <v>20</v>
      </c>
    </row>
    <row r="3" spans="1:11" x14ac:dyDescent="0.25">
      <c r="A3" t="s">
        <v>2</v>
      </c>
      <c r="B3" s="2">
        <v>37334</v>
      </c>
      <c r="C3" s="5">
        <f>DAY(B3)</f>
        <v>19</v>
      </c>
      <c r="D3" s="5">
        <f>MONTH(B3)</f>
        <v>3</v>
      </c>
      <c r="E3" s="5">
        <f>YEAR(B3)</f>
        <v>2002</v>
      </c>
      <c r="F3" s="5">
        <f>WEEKDAY(B3,2)</f>
        <v>2</v>
      </c>
      <c r="G3" t="str">
        <f>IF(F3=1,"Lunes",IF(F3=2,"Martes",IF(F3=3,"Miércoles",IF(F3=4,"Jueves",IF(F3=5,"Viernes",IF(F3=6,"Sábado",IF(F3=7,"Domingo","ERROR")))))))</f>
        <v>Martes</v>
      </c>
      <c r="H3" s="2">
        <f>B3+90</f>
        <v>37424</v>
      </c>
      <c r="J3" s="6">
        <f>WORKDAY(B3,90)</f>
        <v>37460</v>
      </c>
      <c r="K3" s="6">
        <f>WORKDAY.INTL(B3,90)</f>
        <v>37460</v>
      </c>
    </row>
    <row r="4" spans="1:11" x14ac:dyDescent="0.25">
      <c r="A4" t="s">
        <v>3</v>
      </c>
      <c r="B4" s="2">
        <v>36555</v>
      </c>
      <c r="C4" s="5">
        <f t="shared" ref="C4:C9" si="0">DAY(B4)</f>
        <v>30</v>
      </c>
      <c r="D4" s="5">
        <f t="shared" ref="D4:D9" si="1">MONTH(B4)</f>
        <v>1</v>
      </c>
      <c r="E4" s="5">
        <f t="shared" ref="E4:E9" si="2">YEAR(B4)</f>
        <v>2000</v>
      </c>
      <c r="F4" s="5">
        <f t="shared" ref="F4:F9" si="3">WEEKDAY(B4,2)</f>
        <v>7</v>
      </c>
      <c r="G4" t="str">
        <f t="shared" ref="G4:G9" si="4">IF(F4=1,"Lunes",IF(F4=2,"Martes",IF(F4=3,"Miércoles",IF(F4=4,"Jueves",IF(F4=5,"Viernes",IF(F4=6,"Sábado",IF(F4=7,"Domingo","ERROR")))))))</f>
        <v>Domingo</v>
      </c>
      <c r="H4" s="2">
        <f t="shared" ref="H4:H9" si="5">B4+90</f>
        <v>36645</v>
      </c>
      <c r="J4" s="6">
        <f t="shared" ref="J4:J9" si="6">WORKDAY(B4,90)</f>
        <v>36679</v>
      </c>
      <c r="K4" s="6">
        <f t="shared" ref="K4:K9" si="7">WORKDAY.INTL(B4,90)</f>
        <v>36679</v>
      </c>
    </row>
    <row r="5" spans="1:11" x14ac:dyDescent="0.25">
      <c r="A5" t="s">
        <v>4</v>
      </c>
      <c r="B5" s="2">
        <v>38139</v>
      </c>
      <c r="C5" s="5">
        <f t="shared" si="0"/>
        <v>1</v>
      </c>
      <c r="D5" s="5">
        <f t="shared" si="1"/>
        <v>6</v>
      </c>
      <c r="E5" s="5">
        <f t="shared" si="2"/>
        <v>2004</v>
      </c>
      <c r="F5" s="5">
        <f t="shared" si="3"/>
        <v>2</v>
      </c>
      <c r="G5" t="str">
        <f t="shared" si="4"/>
        <v>Martes</v>
      </c>
      <c r="H5" s="2">
        <f t="shared" si="5"/>
        <v>38229</v>
      </c>
      <c r="J5" s="6">
        <f t="shared" si="6"/>
        <v>38265</v>
      </c>
      <c r="K5" s="6">
        <f t="shared" si="7"/>
        <v>38265</v>
      </c>
    </row>
    <row r="6" spans="1:11" x14ac:dyDescent="0.25">
      <c r="A6" t="s">
        <v>5</v>
      </c>
      <c r="B6" s="2">
        <v>36868</v>
      </c>
      <c r="C6" s="5">
        <f t="shared" si="0"/>
        <v>8</v>
      </c>
      <c r="D6" s="5">
        <f t="shared" si="1"/>
        <v>12</v>
      </c>
      <c r="E6" s="5">
        <f t="shared" si="2"/>
        <v>2000</v>
      </c>
      <c r="F6" s="5">
        <f t="shared" si="3"/>
        <v>5</v>
      </c>
      <c r="G6" t="str">
        <f t="shared" si="4"/>
        <v>Viernes</v>
      </c>
      <c r="H6" s="2">
        <f t="shared" si="5"/>
        <v>36958</v>
      </c>
      <c r="J6" s="6">
        <f t="shared" si="6"/>
        <v>36994</v>
      </c>
      <c r="K6" s="6">
        <f t="shared" si="7"/>
        <v>36994</v>
      </c>
    </row>
    <row r="7" spans="1:11" x14ac:dyDescent="0.25">
      <c r="A7" t="s">
        <v>6</v>
      </c>
      <c r="B7" s="2">
        <v>38432</v>
      </c>
      <c r="C7" s="5">
        <f t="shared" si="0"/>
        <v>21</v>
      </c>
      <c r="D7" s="5">
        <f t="shared" si="1"/>
        <v>3</v>
      </c>
      <c r="E7" s="5">
        <f t="shared" si="2"/>
        <v>2005</v>
      </c>
      <c r="F7" s="5">
        <f t="shared" si="3"/>
        <v>1</v>
      </c>
      <c r="G7" t="str">
        <f t="shared" si="4"/>
        <v>Lunes</v>
      </c>
      <c r="H7" s="2">
        <f t="shared" si="5"/>
        <v>38522</v>
      </c>
      <c r="J7" s="6">
        <f t="shared" si="6"/>
        <v>38558</v>
      </c>
      <c r="K7" s="6">
        <f t="shared" si="7"/>
        <v>38558</v>
      </c>
    </row>
    <row r="8" spans="1:11" x14ac:dyDescent="0.25">
      <c r="A8" t="s">
        <v>7</v>
      </c>
      <c r="B8" s="2">
        <v>37474</v>
      </c>
      <c r="C8" s="5">
        <f t="shared" si="0"/>
        <v>6</v>
      </c>
      <c r="D8" s="5">
        <f t="shared" si="1"/>
        <v>8</v>
      </c>
      <c r="E8" s="5">
        <f t="shared" si="2"/>
        <v>2002</v>
      </c>
      <c r="F8" s="5">
        <f t="shared" si="3"/>
        <v>2</v>
      </c>
      <c r="G8" t="str">
        <f t="shared" si="4"/>
        <v>Martes</v>
      </c>
      <c r="H8" s="2">
        <f t="shared" si="5"/>
        <v>37564</v>
      </c>
      <c r="J8" s="6">
        <f t="shared" si="6"/>
        <v>37600</v>
      </c>
      <c r="K8" s="6">
        <f t="shared" si="7"/>
        <v>37600</v>
      </c>
    </row>
    <row r="9" spans="1:11" x14ac:dyDescent="0.25">
      <c r="A9" t="s">
        <v>8</v>
      </c>
      <c r="B9" s="2">
        <v>37938</v>
      </c>
      <c r="C9" s="5">
        <f t="shared" si="0"/>
        <v>13</v>
      </c>
      <c r="D9" s="5">
        <f t="shared" si="1"/>
        <v>11</v>
      </c>
      <c r="E9" s="5">
        <f t="shared" si="2"/>
        <v>2003</v>
      </c>
      <c r="F9" s="5">
        <f t="shared" si="3"/>
        <v>4</v>
      </c>
      <c r="G9" t="str">
        <f t="shared" si="4"/>
        <v>Jueves</v>
      </c>
      <c r="H9" s="2">
        <f t="shared" si="5"/>
        <v>38028</v>
      </c>
      <c r="J9" s="6">
        <f t="shared" si="6"/>
        <v>38064</v>
      </c>
      <c r="K9" s="6">
        <f t="shared" si="7"/>
        <v>38064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Carlos Manzano</cp:lastModifiedBy>
  <cp:revision/>
  <dcterms:created xsi:type="dcterms:W3CDTF">2011-06-05T18:24:31Z</dcterms:created>
  <dcterms:modified xsi:type="dcterms:W3CDTF">2026-05-07T09:46:42Z</dcterms:modified>
  <cp:category/>
  <cp:contentStatus/>
</cp:coreProperties>
</file>