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161844B7-EF3E-4D5B-99BC-E68D39E00F1D}" xr6:coauthVersionLast="47" xr6:coauthVersionMax="47" xr10:uidLastSave="{00000000-0000-0000-0000-000000000000}"/>
  <bookViews>
    <workbookView xWindow="-120" yWindow="-120" windowWidth="20730" windowHeight="11160" xr2:uid="{823AFDB6-6FC8-4ADF-813B-EDA3993CD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<sst xmlns="http://schemas.openxmlformats.org/spreadsheetml/2006/main" count="24" uniqueCount="11">
  <si>
    <t>UDS INICIALES</t>
  </si>
  <si>
    <t>UDS FINALES</t>
  </si>
  <si>
    <t>COMISION</t>
  </si>
  <si>
    <t>UNIDADES</t>
  </si>
  <si>
    <t>MES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</si>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</sst>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0763D0-0ABB-4742-91CE-5833111D53EB}" name="T_DATOS" displayName="T_DATOS" ref="A12:C19" totalsRowShown="0">
  <autoFilter ref="A12:C19" xr:uid="{6D0763D0-0ABB-4742-91CE-5833111D53EB}"/>
  <tableColumns count="3">
    <tableColumn id="1" xr3:uid="{7E5F5468-54F2-4626-B1AC-BEC6F9DA9432}" name="UDS INICIALES"/>
    <tableColumn id="2" xr3:uid="{C1C4591B-7616-4BB7-BB33-B7EF44BD07A5}" name="UDS FINALES"/>
    <tableColumn id="3" xr3:uid="{DA3D60DE-898B-4829-B640-B80BE69CF3BE}" name="COMISION" dataDxfId="1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1329BE-8FD5-48D3-B482-C9A0439B7CF0}" name="T_CALCULOS" displayName="T_CALCULOS" ref="F12:H18" totalsRowShown="0">
  <autoFilter ref="F12:H18" xr:uid="{CB1329BE-8FD5-48D3-B482-C9A0439B7CF0}"/>
  <tableColumns count="3">
    <tableColumn id="1" xr3:uid="{D2DA906D-0711-472E-A85D-86E834D030D8}" name="UNIDADES"/>
    <tableColumn id="2" xr3:uid="{36F8EBC7-AE73-4859-87DC-F77E540DDF3B}" name="MES"/>
    <tableColumn id="3" xr3:uid="{B33B9843-7B90-46CF-81BD-9238EFB00A47}" name="COMISION" dataDxfId="0" dataCellStyle="Porcentaje">
      <calculatedColumnFormula>VLOOKUP(T_CALCULOS[[#This Row],[UNIDADES]],T_DATOS[],3,1)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665621-6EAF-4229-A4A3-5CFEA211C899}">
  <we:reference id="wa200005271" version="2.4.3.0" store="es-ES" storeType="OMEX"/>
  <we:alternateReferences>
    <we:reference id="WA200005271" version="2.4.3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B218-6693-400A-A9C1-6AC18311E0A5}">
  <dimension ref="A1:H19"/>
  <sheetViews>
    <sheetView tabSelected="1" workbookViewId="0">
      <selection activeCell="L12" sqref="L12"/>
    </sheetView>
  </sheetViews>
  <sheetFormatPr baseColWidth="10" defaultRowHeight="15" x14ac:dyDescent="0.25"/>
  <cols>
    <col min="1" max="1" width="15.7109375" customWidth="1"/>
    <col min="2" max="2" width="14.42578125" customWidth="1"/>
    <col min="3" max="3" width="12.5703125" customWidth="1"/>
    <col min="6" max="6" width="12.42578125" customWidth="1"/>
    <col min="8" max="8" width="12.5703125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2</v>
      </c>
    </row>
    <row r="2" spans="1:8" x14ac:dyDescent="0.25">
      <c r="A2">
        <v>0</v>
      </c>
      <c r="B2">
        <v>99</v>
      </c>
      <c r="C2" s="1">
        <v>0</v>
      </c>
      <c r="F2">
        <v>720</v>
      </c>
      <c r="G2" t="s">
        <v>5</v>
      </c>
      <c r="H2" s="1">
        <f>VLOOKUP(F2,$A$2:$C$8,3,1)</f>
        <v>0.25</v>
      </c>
    </row>
    <row r="3" spans="1:8" x14ac:dyDescent="0.25">
      <c r="A3">
        <v>100</v>
      </c>
      <c r="B3">
        <v>199</v>
      </c>
      <c r="C3" s="1">
        <v>0.05</v>
      </c>
      <c r="F3">
        <v>125</v>
      </c>
      <c r="G3" t="s">
        <v>6</v>
      </c>
      <c r="H3" s="1">
        <f t="shared" ref="H3:H7" si="0">VLOOKUP(F3,$A$2:$C$8,3,1)</f>
        <v>0.05</v>
      </c>
    </row>
    <row r="4" spans="1:8" x14ac:dyDescent="0.25">
      <c r="A4">
        <v>200</v>
      </c>
      <c r="B4">
        <v>399</v>
      </c>
      <c r="C4" s="1">
        <v>0.12</v>
      </c>
      <c r="F4">
        <v>200</v>
      </c>
      <c r="G4" t="s">
        <v>7</v>
      </c>
      <c r="H4" s="1">
        <f t="shared" si="0"/>
        <v>0.12</v>
      </c>
    </row>
    <row r="5" spans="1:8" x14ac:dyDescent="0.25">
      <c r="A5">
        <v>400</v>
      </c>
      <c r="B5">
        <v>599</v>
      </c>
      <c r="C5" s="1">
        <v>0.18</v>
      </c>
      <c r="F5">
        <v>412</v>
      </c>
      <c r="G5" t="s">
        <v>8</v>
      </c>
      <c r="H5" s="1">
        <f t="shared" si="0"/>
        <v>0.18</v>
      </c>
    </row>
    <row r="6" spans="1:8" x14ac:dyDescent="0.25">
      <c r="A6">
        <v>600</v>
      </c>
      <c r="B6">
        <v>799</v>
      </c>
      <c r="C6" s="1">
        <v>0.25</v>
      </c>
      <c r="F6">
        <v>55</v>
      </c>
      <c r="G6" t="s">
        <v>9</v>
      </c>
      <c r="H6" s="1">
        <f t="shared" si="0"/>
        <v>0</v>
      </c>
    </row>
    <row r="7" spans="1:8" x14ac:dyDescent="0.25">
      <c r="A7">
        <v>800</v>
      </c>
      <c r="B7">
        <v>999</v>
      </c>
      <c r="C7" s="1">
        <v>0.35</v>
      </c>
      <c r="F7">
        <v>1115</v>
      </c>
      <c r="G7" t="s">
        <v>10</v>
      </c>
      <c r="H7" s="1">
        <f t="shared" si="0"/>
        <v>0.45</v>
      </c>
    </row>
    <row r="8" spans="1:8" x14ac:dyDescent="0.25">
      <c r="A8">
        <v>1000</v>
      </c>
      <c r="C8" s="1">
        <v>0.45</v>
      </c>
      <c r="H8" s="1"/>
    </row>
    <row r="12" spans="1:8" x14ac:dyDescent="0.25">
      <c r="A12" t="s">
        <v>0</v>
      </c>
      <c r="B12" t="s">
        <v>1</v>
      </c>
      <c r="C12" t="s">
        <v>2</v>
      </c>
      <c r="F12" t="s">
        <v>3</v>
      </c>
      <c r="G12" t="s">
        <v>4</v>
      </c>
      <c r="H12" t="s">
        <v>2</v>
      </c>
    </row>
    <row r="13" spans="1:8" x14ac:dyDescent="0.25">
      <c r="A13">
        <v>0</v>
      </c>
      <c r="B13">
        <v>99</v>
      </c>
      <c r="C13" s="1">
        <v>0</v>
      </c>
      <c r="F13">
        <v>720</v>
      </c>
      <c r="G13" t="s">
        <v>5</v>
      </c>
      <c r="H13" s="1">
        <f>VLOOKUP(T_CALCULOS[[#This Row],[UNIDADES]],T_DATOS[],3,1)</f>
        <v>0.25</v>
      </c>
    </row>
    <row r="14" spans="1:8" x14ac:dyDescent="0.25">
      <c r="A14">
        <v>100</v>
      </c>
      <c r="B14">
        <v>199</v>
      </c>
      <c r="C14" s="1">
        <v>0.05</v>
      </c>
      <c r="F14">
        <v>125</v>
      </c>
      <c r="G14" t="s">
        <v>6</v>
      </c>
      <c r="H14" s="1">
        <f>VLOOKUP(T_CALCULOS[[#This Row],[UNIDADES]],T_DATOS[],3,1)</f>
        <v>0.05</v>
      </c>
    </row>
    <row r="15" spans="1:8" x14ac:dyDescent="0.25">
      <c r="A15">
        <v>200</v>
      </c>
      <c r="B15">
        <v>399</v>
      </c>
      <c r="C15" s="1">
        <v>0.12</v>
      </c>
      <c r="F15">
        <v>200</v>
      </c>
      <c r="G15" t="s">
        <v>7</v>
      </c>
      <c r="H15" s="1">
        <f>VLOOKUP(T_CALCULOS[[#This Row],[UNIDADES]],T_DATOS[],3,1)</f>
        <v>0.12</v>
      </c>
    </row>
    <row r="16" spans="1:8" x14ac:dyDescent="0.25">
      <c r="A16">
        <v>400</v>
      </c>
      <c r="B16">
        <v>599</v>
      </c>
      <c r="C16" s="1">
        <v>0.18</v>
      </c>
      <c r="F16">
        <v>412</v>
      </c>
      <c r="G16" t="s">
        <v>8</v>
      </c>
      <c r="H16" s="1">
        <f>VLOOKUP(T_CALCULOS[[#This Row],[UNIDADES]],T_DATOS[],3,1)</f>
        <v>0.18</v>
      </c>
    </row>
    <row r="17" spans="1:8" x14ac:dyDescent="0.25">
      <c r="A17">
        <v>600</v>
      </c>
      <c r="B17">
        <v>799</v>
      </c>
      <c r="C17" s="1">
        <v>0.25</v>
      </c>
      <c r="F17">
        <v>55</v>
      </c>
      <c r="G17" t="s">
        <v>9</v>
      </c>
      <c r="H17" s="1">
        <f>VLOOKUP(T_CALCULOS[[#This Row],[UNIDADES]],T_DATOS[],3,1)</f>
        <v>0</v>
      </c>
    </row>
    <row r="18" spans="1:8" x14ac:dyDescent="0.25">
      <c r="A18">
        <v>800</v>
      </c>
      <c r="B18">
        <v>999</v>
      </c>
      <c r="C18" s="1">
        <v>0.35</v>
      </c>
      <c r="F18">
        <v>1115</v>
      </c>
      <c r="G18" t="s">
        <v>10</v>
      </c>
      <c r="H18" s="1">
        <f>VLOOKUP(T_CALCULOS[[#This Row],[UNIDADES]],T_DATOS[],3,1)</f>
        <v>0.45</v>
      </c>
    </row>
    <row r="19" spans="1:8" x14ac:dyDescent="0.25">
      <c r="A19">
        <v>1000</v>
      </c>
      <c r="C19" s="1">
        <v>0.45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2024-02-12T08:15:36Z</dcterms:created>
  <dcterms:modified xsi:type="dcterms:W3CDTF">2025-08-19T09:17:42Z</dcterms:modified>
</cp:coreProperties>
</file>