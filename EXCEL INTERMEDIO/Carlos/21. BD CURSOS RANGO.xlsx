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A5312082-F3F4-4086-9EC1-EC277D10D83B}" xr6:coauthVersionLast="47" xr6:coauthVersionMax="47" xr10:uidLastSave="{00000000-0000-0000-0000-000000000000}"/>
  <bookViews>
    <workbookView xWindow="-120" yWindow="-120" windowWidth="20730" windowHeight="11160" activeTab="1" xr2:uid="{36A04AEB-DE91-499B-8B0B-1831A8FE656D}"/>
  </bookViews>
  <sheets>
    <sheet name="CURSOS" sheetId="1" r:id="rId1"/>
    <sheet name="CALCULOS" sheetId="2" r:id="rId2"/>
    <sheet name="CÁLCULOS 2" sheetId="3" r:id="rId3"/>
    <sheet name="Cálculos 3" sheetId="4" r:id="rId4"/>
  </sheets>
  <definedNames>
    <definedName name="_xlnm._FilterDatabase" localSheetId="0" hidden="1">CURSOS!$B$1:$N$363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2" i="2"/>
  <c r="E13" i="4"/>
  <c r="E12" i="4"/>
  <c r="D11" i="4"/>
  <c r="C5" i="4"/>
  <c r="B3" i="4"/>
  <c r="B2" i="4"/>
  <c r="B1" i="4"/>
  <c r="C7" i="3"/>
  <c r="C5" i="3"/>
  <c r="B2" i="3"/>
  <c r="B3" i="3"/>
  <c r="B1" i="3"/>
  <c r="B10" i="2"/>
  <c r="B8" i="2"/>
  <c r="B6" i="2"/>
  <c r="B4" i="2"/>
  <c r="B2" i="2"/>
  <c r="B1" i="2"/>
</calcChain>
</file>

<file path=xl/sharedStrings.xml><?xml version="1.0" encoding="utf-8"?>
<sst xmlns="http://schemas.openxmlformats.org/spreadsheetml/2006/main" count="3678" uniqueCount="435">
  <si>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</si>
  <si>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</si>
  <si>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</si>
  <si>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</si>
  <si>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</si>
  <si>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</si>
  <si>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</si>
  <si>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</si>
  <si>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</si>
  <si>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</si>
  <si>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</si>
  <si>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</si>
  <si>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</si>
  <si>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</si>
  <si>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</si>
  <si>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</si>
  <si>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</si>
  <si>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</si>
  <si>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</si>
  <si>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</si>
  <si>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</si>
  <si>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</si>
  <si>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</si>
  <si>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</si>
  <si>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</si>
  <si>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</si>
  <si>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</si>
  <si>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</si>
  <si>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</si>
  <si>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</si>
  <si>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</si>
  <si>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</si>
  <si>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</si>
  <si>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</si>
  <si>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</si>
  <si>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</si>
  <si>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</si>
  <si>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</si>
  <si>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</si>
  <si>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</si>
  <si>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</si>
  <si>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</si>
  <si>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</si>
  <si>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</si>
  <si>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</si>
  <si>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</si>
  <si>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</si>
  <si>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</si>
  <si>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</si>
  <si>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</si>
  <si>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</si>
  <si>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</si>
  <si>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</si>
  <si>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</si>
  <si>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</si>
  <si>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</si>
  <si>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</si>
  <si>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</si>
  <si>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</si>
  <si>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</si>
  <si>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</si>
  <si>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</si>
  <si>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</si>
  <si>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</si>
  <si>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</si>
  <si>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</si>
  <si>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</si>
  <si>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</si>
  <si>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</si>
  <si>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</si>
  <si>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</si>
  <si>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</si>
  <si>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</si>
  <si>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</si>
  <si>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</si>
  <si>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</si>
  <si>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</si>
  <si>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</si>
  <si>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</si>
  <si>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</si>
  <si>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</si>
  <si>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</si>
  <si>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</si>
  <si>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</si>
  <si>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</si>
  <si>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</si>
  <si>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</si>
  <si>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</si>
  <si>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</si>
  <si>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</si>
  <si>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</si>
  <si>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</si>
  <si>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</si>
  <si>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</si>
  <si>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</si>
  <si>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</si>
  <si>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</si>
  <si>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</si>
  <si>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</si>
  <si>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</si>
  <si>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</si>
  <si>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</si>
  <si>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</si>
  <si>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</si>
  <si>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</si>
  <si>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</si>
  <si>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</si>
  <si>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</si>
  <si>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</si>
  <si>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</si>
  <si>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</si>
  <si>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</si>
  <si>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</si>
  <si>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</si>
  <si>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</si>
  <si>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</si>
  <si>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</si>
  <si>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</si>
  <si>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</si>
  <si>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</si>
  <si>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</si>
  <si>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</si>
  <si>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</si>
  <si>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</si>
  <si>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</si>
  <si>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</si>
  <si>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</si>
  <si>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</si>
  <si>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</si>
  <si>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</si>
  <si>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</si>
  <si>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</si>
  <si>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</si>
  <si>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</si>
  <si>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</si>
  <si>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</si>
  <si>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</si>
  <si>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</si>
  <si>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</si>
  <si>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</si>
  <si>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</si>
  <si>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</si>
  <si>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</si>
  <si>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</si>
  <si>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</si>
  <si>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</si>
  <si>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</si>
  <si>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</si>
  <si>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</si>
  <si>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</si>
  <si>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</si>
  <si>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</si>
  <si>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</si>
  <si>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</si>
  <si>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</si>
  <si>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</si>
  <si>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</si>
  <si>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</si>
  <si>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</si>
  <si>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</si>
  <si>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</si>
  <si>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</si>
  <si>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</si>
  <si>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</si>
  <si>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</si>
  <si>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</si>
  <si>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</si>
  <si>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</si>
  <si>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</si>
  <si>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</si>
  <si>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</si>
  <si>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</si>
  <si>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</si>
  <si>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</si>
  <si>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</si>
  <si>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</si>
  <si>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</si>
  <si>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</si>
  <si>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</si>
  <si>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</si>
  <si>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</si>
  <si>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</si>
  <si>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</si>
  <si>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</si>
  <si>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</si>
  <si>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</si>
  <si>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</si>
  <si>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</si>
  <si>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</si>
  <si>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</si>
  <si>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</si>
  <si>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</si>
  <si>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</si>
  <si>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</si>
  <si>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</si>
  <si>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</si>
  <si>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</si>
  <si>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</si>
  <si>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</si>
  <si>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</si>
  <si>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</si>
  <si>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</si>
  <si>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</si>
  <si>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</si>
  <si>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</si>
  <si>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</si>
  <si>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</si>
  <si>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</si>
  <si>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</si>
  <si>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</si>
  <si>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</si>
  <si>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</si>
  <si>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</si>
  <si>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</si>
  <si>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</si>
  <si>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</si>
  <si>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</si>
  <si>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</si>
  <si>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</si>
  <si>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</si>
  <si>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</si>
  <si>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</si>
  <si>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</si>
  <si>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</si>
  <si>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</si>
  <si>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</si>
  <si>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</si>
  <si>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</si>
  <si>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</si>
  <si>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</si>
  <si>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</si>
  <si>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</si>
  <si>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</si>
  <si>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</si>
  <si>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</si>
  <si>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</si>
  <si>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</si>
  <si>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</si>
  <si>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</si>
  <si>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</si>
  <si>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</si>
  <si>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</si>
  <si>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</si>
  <si>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</si>
  <si>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</si>
  <si>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</si>
  <si>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</si>
  <si>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</si>
  <si>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</si>
  <si>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</si>
  <si>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</si>
  <si>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</si>
  <si>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</si>
  <si>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</si>
  <si>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</si>
  <si>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</si>
  <si>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</si>
  <si>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</si>
  <si>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</si>
  <si>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</si>
  <si>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</si>
  <si>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</si>
  <si>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</si>
  <si>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</si>
  <si>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</si>
  <si>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</si>
  <si>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</si>
  <si>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</si>
  <si>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</si>
  <si>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</si>
  <si>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</si>
  <si>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</si>
  <si>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</si>
  <si>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</si>
  <si>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</si>
  <si>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</si>
  <si>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</si>
  <si>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</si>
  <si>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</si>
  <si>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</si>
  <si>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</si>
  <si>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</si>
  <si>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</si>
  <si>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</si>
  <si>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</si>
  <si>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</si>
  <si>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</si>
  <si>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</si>
  <si>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</si>
  <si>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</si>
  <si>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</si>
  <si>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</si>
  <si>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</si>
  <si>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</si>
  <si>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</si>
  <si>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</si>
  <si>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</si>
  <si>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</si>
  <si>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</si>
  <si>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</si>
  <si>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</si>
  <si>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</si>
  <si>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</si>
  <si>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</si>
  <si>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</si>
  <si>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</si>
  <si>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</si>
  <si>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</si>
  <si>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</si>
  <si>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</si>
  <si>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</si>
  <si>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</si>
  <si>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</si>
  <si>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</si>
  <si>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</si>
  <si>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</si>
  <si>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</si>
  <si>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</si>
  <si>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</si>
  <si>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</si>
  <si>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</si>
  <si>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</si>
  <si>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</si>
  <si>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</si>
  <si>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</si>
  <si>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</si>
  <si>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</si>
  <si>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</si>
  <si>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</si>
  <si>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</si>
  <si>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</si>
  <si>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</si>
  <si>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</si>
  <si>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</si>
  <si>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</si>
  <si>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</si>
  <si>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</si>
  <si>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</si>
  <si>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</si>
  <si>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</si>
  <si>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</si>
  <si>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</si>
  <si>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</si>
  <si>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</si>
  <si>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</si>
  <si>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</si>
  <si>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</si>
  <si>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</si>
  <si>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</si>
  <si>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</si>
  <si>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</si>
  <si>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</si>
  <si>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</si>
  <si>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</si>
  <si>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</si>
  <si>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</si>
  <si>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</si>
  <si>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</si>
  <si>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</si>
  <si>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</si>
  <si>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</si>
  <si>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</si>
  <si>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</si>
  <si>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</si>
  <si>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</si>
  <si>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</si>
  <si>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</si>
  <si>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</si>
  <si>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</si>
  <si>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</si>
  <si>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</si>
  <si>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</si>
  <si>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</si>
  <si>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</si>
  <si>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</si>
  <si>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</si>
  <si>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</si>
  <si>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</si>
  <si>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</si>
  <si>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</si>
  <si>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</si>
  <si>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</si>
  <si>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</si>
  <si>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</si>
  <si>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</si>
  <si>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</si>
  <si>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</si>
  <si>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</si>
  <si>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</si>
  <si>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</si>
  <si>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</si>
  <si>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</si>
  <si>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</si>
  <si>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</si>
  <si>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</si>
  <si>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</si>
  <si>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</si>
  <si>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</si>
  <si>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</si>
  <si>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</si>
  <si>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</si>
  <si>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</si>
  <si>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</si>
  <si>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</si>
  <si>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</si>
  <si>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</si>
  <si>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</si>
  <si>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</si>
  <si>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</si>
  <si>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</si>
  <si>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</si>
  <si>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</si>
  <si>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</si>
  <si>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</si>
  <si>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</si>
  <si>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</si>
  <si>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 GASTO</t>
  </si>
  <si>
    <t>TOTAL IMPORTE CLIENTE E IMPORTE COMERCIAL</t>
  </si>
  <si>
    <t>CONTAR COLUMNAS DURACION Y FECHA CURSO</t>
  </si>
  <si>
    <t>CONTAR COLUMNA CURSO</t>
  </si>
  <si>
    <t>CONTAR EL NUMERO DE CURSOS DE EXCEL</t>
  </si>
  <si>
    <t>CONTAR EL NUMERO DE CURSOS CON DURACION MENOR O IGUAL A 20</t>
  </si>
  <si>
    <t>CONTAR EL NUMERO DE CURSOS EN JORNADA DE</t>
  </si>
  <si>
    <t> cursos con importe cliente mayor de 1000</t>
  </si>
  <si>
    <t>contar el número de cursos que no estén pagados por el cliente.</t>
  </si>
  <si>
    <t>contar el número de cursos donde el país no sea España.</t>
  </si>
  <si>
    <t>Paises</t>
  </si>
  <si>
    <t>Contar el número de cursos por país</t>
  </si>
  <si>
    <r>
      <t xml:space="preserve">contar el número de cursos con </t>
    </r>
    <r>
      <rPr>
        <sz val="12"/>
        <color rgb="FFFF0000"/>
        <rFont val="Arial"/>
        <family val="2"/>
      </rPr>
      <t>importe cliente</t>
    </r>
    <r>
      <rPr>
        <sz val="12"/>
        <color rgb="FF000000"/>
        <rFont val="Arial"/>
        <family val="2"/>
      </rPr>
      <t xml:space="preserve"> mayor de 1000.</t>
    </r>
  </si>
  <si>
    <r>
      <t xml:space="preserve">contar el número de cursos que </t>
    </r>
    <r>
      <rPr>
        <sz val="12"/>
        <color rgb="FFFF0000"/>
        <rFont val="Arial"/>
        <family val="2"/>
      </rPr>
      <t>no estén pagados por el cliente.</t>
    </r>
  </si>
  <si>
    <r>
      <t xml:space="preserve">En B3: contar el número de cursos donde </t>
    </r>
    <r>
      <rPr>
        <sz val="12"/>
        <color rgb="FFFF0000"/>
        <rFont val="Arial"/>
        <family val="2"/>
      </rPr>
      <t>el país no sea España.</t>
    </r>
  </si>
  <si>
    <t>Ninguno</t>
  </si>
  <si>
    <t>curso</t>
  </si>
  <si>
    <t>matematicas</t>
  </si>
  <si>
    <t>lengua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</si>
</sst>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2" fillId="0" borderId="0" xfId="0" applyFont="1"/>
    <xf numFmtId="0" fontId="0" fillId="2" borderId="0" xfId="0" applyFill="1"/>
  </cellXfs>
  <cellStyles count="2">
    <cellStyle name="Euro" xfId="1" xr:uid="{4539F1CC-3952-420D-B576-B547C9CE8E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1392-E9C1-4E46-9722-3A01BDB246B8}">
  <dimension ref="A1:O363"/>
  <sheetViews>
    <sheetView topLeftCell="C2" workbookViewId="0">
      <selection activeCell="M2" sqref="A2:O363"/>
    </sheetView>
  </sheetViews>
  <sheetFormatPr baseColWidth="10" defaultColWidth="11.42578125" defaultRowHeight="12.75" x14ac:dyDescent="0.2"/>
  <cols>
    <col min="1" max="1" width="14.7109375" style="2" bestFit="1" customWidth="1"/>
    <col min="2" max="2" width="18.5703125" style="3" customWidth="1"/>
    <col min="3" max="3" width="13.42578125" style="3" bestFit="1" customWidth="1"/>
    <col min="4" max="4" width="16.42578125" style="3" customWidth="1"/>
    <col min="5" max="5" width="20.5703125" style="3" bestFit="1" customWidth="1"/>
    <col min="6" max="6" width="17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21.5703125" style="3" customWidth="1"/>
    <col min="11" max="11" width="24.140625" style="3" bestFit="1" customWidth="1"/>
    <col min="12" max="12" width="15.7109375" style="3" bestFit="1" customWidth="1"/>
    <col min="13" max="13" width="11.42578125" style="2"/>
    <col min="14" max="14" width="12.5703125" style="2" bestFit="1" customWidth="1"/>
    <col min="15" max="15" width="16.7109375" style="2" bestFit="1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77E3-8BF1-4010-87BC-B453CE4ADB66}">
  <dimension ref="A1:F15"/>
  <sheetViews>
    <sheetView tabSelected="1" workbookViewId="0">
      <selection activeCell="C16" sqref="C16"/>
    </sheetView>
  </sheetViews>
  <sheetFormatPr baseColWidth="10" defaultRowHeight="12.75" x14ac:dyDescent="0.2"/>
  <cols>
    <col min="1" max="1" width="65.28515625" bestFit="1" customWidth="1"/>
    <col min="2" max="2" width="13" bestFit="1" customWidth="1"/>
  </cols>
  <sheetData>
    <row r="1" spans="1:6" x14ac:dyDescent="0.2">
      <c r="A1" t="s">
        <v>416</v>
      </c>
      <c r="B1" s="6">
        <f>SUM(CURSOS!G2:G363,CURSOS!K2:K363)</f>
        <v>131949.65000000002</v>
      </c>
      <c r="F1" t="s">
        <v>19</v>
      </c>
    </row>
    <row r="2" spans="1:6" x14ac:dyDescent="0.2">
      <c r="A2" t="s">
        <v>417</v>
      </c>
      <c r="B2" s="6">
        <f>SUM(CURSOS!E2:E363,CURSOS!K2:K363)</f>
        <v>331946.64999999997</v>
      </c>
      <c r="F2" t="s">
        <v>28</v>
      </c>
    </row>
    <row r="3" spans="1:6" x14ac:dyDescent="0.2">
      <c r="F3" t="s">
        <v>57</v>
      </c>
    </row>
    <row r="4" spans="1:6" x14ac:dyDescent="0.2">
      <c r="A4" t="s">
        <v>418</v>
      </c>
      <c r="B4">
        <f>COUNT(CURSOS!C2:C363,CURSOS!H2:H363)</f>
        <v>724</v>
      </c>
      <c r="F4" t="s">
        <v>431</v>
      </c>
    </row>
    <row r="6" spans="1:6" x14ac:dyDescent="0.2">
      <c r="A6" t="s">
        <v>419</v>
      </c>
      <c r="B6">
        <f>COUNTA(CURSOS!B2:B363)</f>
        <v>362</v>
      </c>
    </row>
    <row r="8" spans="1:6" x14ac:dyDescent="0.2">
      <c r="A8" t="s">
        <v>420</v>
      </c>
      <c r="B8">
        <f>COUNTIF(CURSOS!B2:B363,"EXCEL")</f>
        <v>89</v>
      </c>
    </row>
    <row r="10" spans="1:6" x14ac:dyDescent="0.2">
      <c r="A10" t="s">
        <v>421</v>
      </c>
      <c r="B10">
        <f>COUNTIF(CURSOS!C2:C363,"&lt;=20")</f>
        <v>193</v>
      </c>
    </row>
    <row r="12" spans="1:6" x14ac:dyDescent="0.2">
      <c r="A12" t="s">
        <v>422</v>
      </c>
      <c r="B12" t="s">
        <v>19</v>
      </c>
      <c r="C12">
        <f>COUNTIF(CURSOS!I2:I363,CALCULOS!B12)</f>
        <v>73</v>
      </c>
    </row>
    <row r="15" spans="1:6" x14ac:dyDescent="0.2">
      <c r="A15" t="s">
        <v>422</v>
      </c>
      <c r="B15" t="s">
        <v>19</v>
      </c>
      <c r="C15">
        <f>COUNTIF(CURSOS!I2:I363,CALCULOS!B15)</f>
        <v>73</v>
      </c>
    </row>
  </sheetData>
  <dataValidations count="1">
    <dataValidation type="list" allowBlank="1" showInputMessage="1" showErrorMessage="1" sqref="B15" xr:uid="{8F6F7D05-95BA-462C-A3F9-1EBE8D2B627C}">
      <formula1>$F$1:$F$4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710C-E916-47BE-A38D-3C4979A02FE7}">
  <dimension ref="A1:D7"/>
  <sheetViews>
    <sheetView workbookViewId="0">
      <selection activeCell="C5" sqref="C5"/>
    </sheetView>
  </sheetViews>
  <sheetFormatPr baseColWidth="10" defaultRowHeight="12.75" x14ac:dyDescent="0.2"/>
  <cols>
    <col min="1" max="1" width="65.85546875" bestFit="1" customWidth="1"/>
  </cols>
  <sheetData>
    <row r="1" spans="1:4" ht="15" x14ac:dyDescent="0.2">
      <c r="A1" s="7" t="s">
        <v>423</v>
      </c>
      <c r="B1">
        <f>COUNTIF(CURSOS!E2:E363,"&gt;1000")</f>
        <v>91</v>
      </c>
      <c r="D1" t="s">
        <v>426</v>
      </c>
    </row>
    <row r="2" spans="1:4" ht="15" x14ac:dyDescent="0.2">
      <c r="A2" s="7" t="s">
        <v>424</v>
      </c>
      <c r="B2">
        <f>COUNTIF(CURSOS!L2:L363,"NO")</f>
        <v>103</v>
      </c>
      <c r="D2" t="s">
        <v>22</v>
      </c>
    </row>
    <row r="3" spans="1:4" ht="15" x14ac:dyDescent="0.2">
      <c r="A3" s="7" t="s">
        <v>425</v>
      </c>
      <c r="B3">
        <f>COUNTIF(CURSOS!M2:M363,"&lt;&gt;ESPAÑA")</f>
        <v>213</v>
      </c>
      <c r="D3" t="s">
        <v>45</v>
      </c>
    </row>
    <row r="4" spans="1:4" x14ac:dyDescent="0.2">
      <c r="D4" t="s">
        <v>30</v>
      </c>
    </row>
    <row r="5" spans="1:4" ht="15" x14ac:dyDescent="0.2">
      <c r="A5" s="7" t="s">
        <v>427</v>
      </c>
      <c r="B5" s="8" t="s">
        <v>30</v>
      </c>
      <c r="C5">
        <f>COUNTIF(CURSOS!M2:M363,'CÁLCULOS 2'!B5)</f>
        <v>83</v>
      </c>
    </row>
    <row r="7" spans="1:4" x14ac:dyDescent="0.2">
      <c r="C7">
        <f>130+83</f>
        <v>213</v>
      </c>
    </row>
  </sheetData>
  <dataValidations count="1">
    <dataValidation type="list" showInputMessage="1" showErrorMessage="1" sqref="B5" xr:uid="{F9902636-FF89-4EB9-B93A-3C2732FD6C35}">
      <formula1>$D$1:$D$4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D47B-61AB-4EA5-946E-7276E229481F}">
  <dimension ref="A1:F17"/>
  <sheetViews>
    <sheetView workbookViewId="0">
      <selection activeCell="D12" sqref="D12"/>
    </sheetView>
  </sheetViews>
  <sheetFormatPr baseColWidth="10" defaultRowHeight="12.75" x14ac:dyDescent="0.2"/>
  <cols>
    <col min="1" max="1" width="66.7109375" bestFit="1" customWidth="1"/>
  </cols>
  <sheetData>
    <row r="1" spans="1:6" ht="15" x14ac:dyDescent="0.2">
      <c r="A1" s="7" t="s">
        <v>428</v>
      </c>
      <c r="B1">
        <f>COUNTIF(CURSOS!E2:E363,"&gt;1000")</f>
        <v>91</v>
      </c>
      <c r="E1" t="s">
        <v>22</v>
      </c>
      <c r="F1" t="s">
        <v>433</v>
      </c>
    </row>
    <row r="2" spans="1:6" ht="15" x14ac:dyDescent="0.2">
      <c r="A2" s="9" t="s">
        <v>429</v>
      </c>
      <c r="B2">
        <f>COUNTIF(CURSOS!L2:L363,"NO")</f>
        <v>103</v>
      </c>
      <c r="E2" t="s">
        <v>30</v>
      </c>
      <c r="F2" t="s">
        <v>434</v>
      </c>
    </row>
    <row r="3" spans="1:6" ht="15" x14ac:dyDescent="0.2">
      <c r="A3" s="9" t="s">
        <v>430</v>
      </c>
      <c r="B3">
        <f>COUNTIF(CURSOS!M2:M363,"&lt;&gt;ESPAÑA")</f>
        <v>213</v>
      </c>
      <c r="E3" t="s">
        <v>45</v>
      </c>
      <c r="F3" t="s">
        <v>431</v>
      </c>
    </row>
    <row r="4" spans="1:6" x14ac:dyDescent="0.2">
      <c r="E4" t="s">
        <v>431</v>
      </c>
    </row>
    <row r="5" spans="1:6" ht="15" x14ac:dyDescent="0.2">
      <c r="A5" s="7" t="s">
        <v>427</v>
      </c>
      <c r="B5" t="s">
        <v>30</v>
      </c>
      <c r="C5">
        <f>COUNTIF(CURSOS!M2:M363,B5)</f>
        <v>83</v>
      </c>
    </row>
    <row r="11" spans="1:6" x14ac:dyDescent="0.2">
      <c r="B11" s="10" t="s">
        <v>432</v>
      </c>
      <c r="D11">
        <f>COUNTA(B12:B17)</f>
        <v>6</v>
      </c>
    </row>
    <row r="12" spans="1:6" x14ac:dyDescent="0.2">
      <c r="B12" t="s">
        <v>433</v>
      </c>
      <c r="D12" s="11" t="s">
        <v>433</v>
      </c>
      <c r="E12">
        <f>COUNTIF(B12:B17,D12)</f>
        <v>2</v>
      </c>
    </row>
    <row r="13" spans="1:6" x14ac:dyDescent="0.2">
      <c r="B13" t="s">
        <v>434</v>
      </c>
      <c r="E13">
        <f>COUNTIF(B12:B17,"&lt;&gt;"&amp;D12)</f>
        <v>4</v>
      </c>
    </row>
    <row r="14" spans="1:6" x14ac:dyDescent="0.2">
      <c r="B14" t="s">
        <v>433</v>
      </c>
    </row>
    <row r="15" spans="1:6" x14ac:dyDescent="0.2">
      <c r="B15" t="s">
        <v>434</v>
      </c>
    </row>
    <row r="16" spans="1:6" x14ac:dyDescent="0.2">
      <c r="B16" t="s">
        <v>434</v>
      </c>
    </row>
    <row r="17" spans="2:2" x14ac:dyDescent="0.2">
      <c r="B17" t="s">
        <v>434</v>
      </c>
    </row>
  </sheetData>
  <dataValidations count="2">
    <dataValidation type="list" allowBlank="1" showInputMessage="1" showErrorMessage="1" sqref="B5" xr:uid="{9B38563C-6C0A-483F-B3A5-4A45D5E0060A}">
      <formula1>E1:E4</formula1>
    </dataValidation>
    <dataValidation type="list" allowBlank="1" showInputMessage="1" showErrorMessage="1" sqref="D12" xr:uid="{7755830E-6622-4B31-8FB6-8482C98D4731}">
      <formula1>$F$1:$F$3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CURSOS</vt:lpstr>
      <vt:lpstr>CALCULOS</vt:lpstr>
      <vt:lpstr>CÁLCULOS 2</vt:lpstr>
      <vt:lpstr>Cálculos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2024-02-19T12:52:16Z</dcterms:created>
  <dcterms:modified xsi:type="dcterms:W3CDTF">2025-08-12T11:09:10Z</dcterms:modified>
</cp:coreProperties>
</file>